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esktop\Private\Datasets\2. Gold Price Dynamics &amp; Market Behavior\"/>
    </mc:Choice>
  </mc:AlternateContent>
  <xr:revisionPtr revIDLastSave="0" documentId="13_ncr:1_{FA0081D5-2666-4F21-A372-4AE8E46911A9}" xr6:coauthVersionLast="47" xr6:coauthVersionMax="47" xr10:uidLastSave="{00000000-0000-0000-0000-000000000000}"/>
  <bookViews>
    <workbookView xWindow="28665" yWindow="-135" windowWidth="29070" windowHeight="15750" xr2:uid="{00000000-000D-0000-FFFF-FFFF00000000}"/>
  </bookViews>
  <sheets>
    <sheet name="Dashboard" sheetId="4" r:id="rId1"/>
    <sheet name="Analysis" sheetId="3" r:id="rId2"/>
    <sheet name="Gold_prices_master" sheetId="2" r:id="rId3"/>
  </sheets>
  <definedNames>
    <definedName name="ExternalData_1" localSheetId="2" hidden="1">Gold_prices_master!$A$1:$Q$1001</definedName>
    <definedName name="Slicer_market_signal">#N/A</definedName>
    <definedName name="Slicer_Month">#N/A</definedName>
    <definedName name="Slicer_Year">#N/A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 l="1"/>
  <c r="Q12" i="4"/>
  <c r="K12" i="4"/>
  <c r="A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D56656-B640-4C31-A70E-D8F01345E36A}" keepAlive="1" name="Query - Gold_prices_master" description="Connection to the 'Gold_prices_master' query in the workbook." type="5" refreshedVersion="8" background="1" saveData="1">
    <dbPr connection="Provider=Microsoft.Mashup.OleDb.1;Data Source=$Workbook$;Location=Gold_prices_master;Extended Properties=&quot;&quot;" command="SELECT * FROM [Gold_prices_master]"/>
  </connection>
</connections>
</file>

<file path=xl/sharedStrings.xml><?xml version="1.0" encoding="utf-8"?>
<sst xmlns="http://schemas.openxmlformats.org/spreadsheetml/2006/main" count="1038" uniqueCount="32">
  <si>
    <t>Date</t>
  </si>
  <si>
    <t>Close_Price</t>
  </si>
  <si>
    <t>High</t>
  </si>
  <si>
    <t>Low</t>
  </si>
  <si>
    <t>Open_Price</t>
  </si>
  <si>
    <t>Volume</t>
  </si>
  <si>
    <t>Adj_Close</t>
  </si>
  <si>
    <t>Daily_Return</t>
  </si>
  <si>
    <t>MA_20</t>
  </si>
  <si>
    <t>MA_50</t>
  </si>
  <si>
    <t>MA_200</t>
  </si>
  <si>
    <t>Volatility_20</t>
  </si>
  <si>
    <t>Year</t>
  </si>
  <si>
    <t>Month</t>
  </si>
  <si>
    <t>Day_of_Week</t>
  </si>
  <si>
    <t>Quarter</t>
  </si>
  <si>
    <t>market_signal</t>
  </si>
  <si>
    <t>Neutral</t>
  </si>
  <si>
    <t>DEATH CROSS (Bearish)</t>
  </si>
  <si>
    <t>GOLDEN CROSS (Bullish)</t>
  </si>
  <si>
    <t>Row Labels</t>
  </si>
  <si>
    <t>Grand Total</t>
  </si>
  <si>
    <t>Average Gold Price by Year</t>
  </si>
  <si>
    <t>Monthly Trend</t>
  </si>
  <si>
    <t>Market Signal Distribution</t>
  </si>
  <si>
    <t>Volatility Trend</t>
  </si>
  <si>
    <t>Maximum Price</t>
  </si>
  <si>
    <t>Minimum Price</t>
  </si>
  <si>
    <t>Total Volume</t>
  </si>
  <si>
    <t>Average 
Gold Price</t>
  </si>
  <si>
    <t>Prepared by Mkhululi Technologies</t>
  </si>
  <si>
    <r>
      <rPr>
        <b/>
        <sz val="14"/>
        <color theme="0"/>
        <rFont val="Arial Black"/>
        <family val="2"/>
      </rPr>
      <t>• Long-Term Trend: Gold prices show a clear long-term upward trend, indicating sustained investor demand and its role as a safe-haven asset during uncertain economic periods.</t>
    </r>
    <r>
      <rPr>
        <b/>
        <sz val="14"/>
        <color theme="0"/>
        <rFont val="Calibri"/>
        <family val="2"/>
        <scheme val="minor"/>
      </rPr>
      <t xml:space="preserve">
</t>
    </r>
    <r>
      <rPr>
        <b/>
        <sz val="14"/>
        <color theme="0"/>
        <rFont val="Arial Black"/>
        <family val="2"/>
      </rPr>
      <t>• Volatility Behaviour: Periods of high volatility align with sharp price movements, suggesting increased market uncertainty and stronger trading opportunities during those periods.</t>
    </r>
    <r>
      <rPr>
        <b/>
        <sz val="14"/>
        <color theme="0"/>
        <rFont val="Calibri"/>
        <family val="2"/>
        <scheme val="minor"/>
      </rPr>
      <t xml:space="preserve">
</t>
    </r>
    <r>
      <rPr>
        <b/>
        <sz val="12"/>
        <color theme="0"/>
        <rFont val="Calibri"/>
        <family val="2"/>
        <scheme val="minor"/>
      </rPr>
      <t xml:space="preserve">
</t>
    </r>
    <r>
      <rPr>
        <b/>
        <sz val="14"/>
        <color theme="0"/>
        <rFont val="Arial Black"/>
        <family val="2"/>
      </rPr>
      <t>• Monthly Seasonality: Gold exhibits recurring monthly patterns, with certain months consistently showing stronger average prices, indicating seasonal demand cycles.</t>
    </r>
    <r>
      <rPr>
        <b/>
        <sz val="12"/>
        <color theme="0"/>
        <rFont val="Calibri"/>
        <family val="2"/>
        <scheme val="minor"/>
      </rPr>
      <t xml:space="preserve">
</t>
    </r>
    <r>
      <rPr>
        <b/>
        <sz val="14"/>
        <color theme="0"/>
        <rFont val="Arial Black"/>
        <family val="2"/>
      </rPr>
      <t>• Market Signal Distribution: The distribution of Buy, Sell, and Hold signals indicates that the market spends more time in consolidation (Hold) phases than in active trend phases.</t>
    </r>
    <r>
      <rPr>
        <b/>
        <sz val="14"/>
        <color theme="0"/>
        <rFont val="Calibri"/>
        <family val="2"/>
        <scheme val="minor"/>
      </rPr>
      <t xml:space="preserve">
</t>
    </r>
    <r>
      <rPr>
        <b/>
        <sz val="12"/>
        <color theme="0"/>
        <rFont val="Calibri"/>
        <family val="2"/>
        <scheme val="minor"/>
      </rPr>
      <t xml:space="preserve">
</t>
    </r>
    <r>
      <rPr>
        <b/>
        <sz val="14"/>
        <color theme="0"/>
        <rFont val="Arial Black"/>
        <family val="2"/>
      </rPr>
      <t>• Risk vs Return: Higher volatility periods tend to coincide with larger price swings, highlighting a direct relationship between risk and potential return in gold trading.</t>
    </r>
    <r>
      <rPr>
        <b/>
        <sz val="12"/>
        <color theme="0"/>
        <rFont val="Calibri"/>
        <family val="2"/>
        <scheme val="minor"/>
      </rPr>
      <t xml:space="preserve">
</t>
    </r>
    <r>
      <rPr>
        <b/>
        <sz val="14"/>
        <color theme="0"/>
        <rFont val="Arial Black"/>
        <family val="2"/>
      </rPr>
      <t>• Price Extremes: Recent years show higher price peaks compared to historical levels, suggesting a structural shift in gold valuation.</t>
    </r>
    <r>
      <rPr>
        <b/>
        <sz val="14"/>
        <color theme="0"/>
        <rFont val="Calibri"/>
        <family val="2"/>
        <scheme val="minor"/>
      </rPr>
      <t xml:space="preserve">
</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</si>
</sst>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8" formatCode="[$$-409]#,##0.00"/>
  </numFmts>
  <fonts count="9" x14ac:knownFonts="1">
    <font>
      <sz val="11"/>
      <color theme="1"/>
      <name val="Calibri"/>
      <family val="2"/>
      <scheme val="minor"/>
    </font>
    <font>
      <sz val="11"/>
      <color theme="1"/>
      <name val="Calibri"/>
      <family val="2"/>
      <scheme val="minor"/>
    </font>
    <font>
      <u/>
      <sz val="11"/>
      <color theme="10"/>
      <name val="Calibri"/>
      <family val="2"/>
      <scheme val="minor"/>
    </font>
    <font>
      <sz val="23"/>
      <color theme="0"/>
      <name val="Arial Black"/>
      <family val="2"/>
    </font>
    <font>
      <sz val="23"/>
      <color theme="0"/>
      <name val="Calibri"/>
      <family val="2"/>
      <scheme val="minor"/>
    </font>
    <font>
      <sz val="20"/>
      <color theme="0"/>
      <name val="Arial Black"/>
      <family val="2"/>
    </font>
    <font>
      <b/>
      <sz val="14"/>
      <color theme="0"/>
      <name val="Calibri"/>
      <family val="2"/>
      <scheme val="minor"/>
    </font>
    <font>
      <b/>
      <sz val="12"/>
      <color theme="0"/>
      <name val="Calibri"/>
      <family val="2"/>
      <scheme val="minor"/>
    </font>
    <font>
      <b/>
      <sz val="14"/>
      <color theme="0"/>
      <name val="Arial Black"/>
      <family val="2"/>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6">
    <xf numFmtId="0" fontId="0" fillId="0" borderId="0" xfId="0"/>
    <xf numFmtId="14" fontId="0" fillId="0" borderId="0" xfId="0" applyNumberFormat="1"/>
    <xf numFmtId="0" fontId="0" fillId="0" borderId="0" xfId="0" applyNumberFormat="1"/>
    <xf numFmtId="2" fontId="0" fillId="0" borderId="0" xfId="0" applyNumberFormat="1"/>
    <xf numFmtId="43" fontId="0" fillId="0" borderId="0" xfId="1" applyFont="1"/>
    <xf numFmtId="0" fontId="0" fillId="0" borderId="0" xfId="0" pivotButton="1"/>
    <xf numFmtId="0" fontId="0" fillId="0" borderId="0" xfId="0" applyAlignment="1">
      <alignment horizontal="left"/>
    </xf>
    <xf numFmtId="0" fontId="0" fillId="2" borderId="0" xfId="0" applyFill="1" applyAlignment="1" applyProtection="1">
      <alignment horizontal="center" wrapText="1"/>
      <protection locked="0"/>
    </xf>
    <xf numFmtId="0" fontId="0" fillId="2" borderId="0" xfId="0" applyFill="1" applyProtection="1">
      <protection locked="0"/>
    </xf>
    <xf numFmtId="0" fontId="3" fillId="2" borderId="0" xfId="0" applyFont="1" applyFill="1" applyAlignment="1" applyProtection="1">
      <alignment horizontal="center" wrapText="1"/>
      <protection locked="0"/>
    </xf>
    <xf numFmtId="0" fontId="4" fillId="2" borderId="0" xfId="0" applyFont="1" applyFill="1" applyAlignment="1" applyProtection="1">
      <alignment horizontal="center" wrapText="1"/>
      <protection locked="0"/>
    </xf>
    <xf numFmtId="168" fontId="5" fillId="2" borderId="0" xfId="0" applyNumberFormat="1" applyFont="1" applyFill="1" applyAlignment="1" applyProtection="1">
      <alignment horizontal="center" wrapText="1"/>
      <protection locked="0"/>
    </xf>
    <xf numFmtId="3" fontId="5" fillId="2" borderId="0" xfId="0" applyNumberFormat="1" applyFont="1" applyFill="1" applyProtection="1">
      <protection locked="0"/>
    </xf>
    <xf numFmtId="0" fontId="0" fillId="2" borderId="0" xfId="0" applyFill="1" applyAlignment="1" applyProtection="1">
      <alignment horizontal="left" wrapText="1"/>
      <protection locked="0"/>
    </xf>
    <xf numFmtId="0" fontId="0" fillId="2" borderId="0" xfId="0" applyFill="1" applyAlignment="1" applyProtection="1">
      <protection locked="0"/>
    </xf>
    <xf numFmtId="0" fontId="2" fillId="2" borderId="0" xfId="2" applyFill="1" applyProtection="1">
      <protection locked="0"/>
    </xf>
  </cellXfs>
  <cellStyles count="3">
    <cellStyle name="Comma" xfId="1" builtinId="3"/>
    <cellStyle name="Hyperlink" xfId="2" builtinId="8"/>
    <cellStyle name="Normal" xfId="0" builtinId="0"/>
  </cellStyles>
  <dxfs count="8">
    <dxf>
      <font>
        <b/>
        <i val="0"/>
        <color theme="0"/>
      </font>
      <fill>
        <patternFill>
          <fgColor theme="2" tint="-0.499984740745262"/>
          <bgColor theme="2" tint="-0.499984740745262"/>
        </patternFill>
      </fill>
    </dxf>
    <dxf>
      <numFmt numFmtId="2" formatCode="0.00"/>
    </dxf>
    <dxf>
      <numFmt numFmtId="2" formatCode="0.00"/>
    </dxf>
    <dxf>
      <numFmt numFmtId="2" formatCode="0.00"/>
    </dxf>
    <dxf>
      <numFmt numFmtId="2" formatCode="0.00"/>
    </dxf>
    <dxf>
      <numFmt numFmtId="2" formatCode="0.00"/>
    </dxf>
    <dxf>
      <numFmt numFmtId="0" formatCode="General"/>
    </dxf>
    <dxf>
      <numFmt numFmtId="19" formatCode="yyyy/mm/dd"/>
    </dxf>
  </dxfs>
  <tableStyles count="1" defaultTableStyle="TableStyleMedium2" defaultPivotStyle="PivotStyleLight16">
    <tableStyle name="Slicer Style 1" pivot="0" table="0" count="2" xr9:uid="{0009F5BE-218F-4511-8DCA-2F091B2AFBAD}">
      <tableStyleElement type="wholeTable" dxfId="0"/>
    </tableStyle>
  </tableStyles>
  <extLst>
    <ext xmlns:x14="http://schemas.microsoft.com/office/spreadsheetml/2009/9/main" uri="{46F421CA-312F-682f-3DD2-61675219B42D}">
      <x14:dxfs count="1">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Dashboard.xlsx]Analysis!PivotTable1</c:name>
    <c:fmtId val="2"/>
  </c:pivotSource>
  <c:chart>
    <c:title>
      <c:tx>
        <c:rich>
          <a:bodyPr rot="0" spcFirstLastPara="1" vertOverflow="ellipsis" vert="horz" wrap="square" anchor="ctr" anchorCtr="1"/>
          <a:lstStyle/>
          <a:p>
            <a:pPr>
              <a:defRPr sz="1600" b="1" i="0" u="none" strike="noStrike" kern="1200" spc="100" baseline="0">
                <a:ln>
                  <a:solidFill>
                    <a:schemeClr val="bg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n>
                  <a:solidFill>
                    <a:schemeClr val="bg1"/>
                  </a:solidFill>
                </a:ln>
              </a:rPr>
              <a:t>AVERAGE GOLD PRICE PER YEAR</a:t>
            </a:r>
          </a:p>
        </c:rich>
      </c:tx>
      <c:overlay val="0"/>
      <c:spPr>
        <a:noFill/>
        <a:ln>
          <a:noFill/>
        </a:ln>
        <a:effectLst/>
      </c:spPr>
      <c:txPr>
        <a:bodyPr rot="0" spcFirstLastPara="1" vertOverflow="ellipsis" vert="horz" wrap="square" anchor="ctr" anchorCtr="1"/>
        <a:lstStyle/>
        <a:p>
          <a:pPr>
            <a:defRPr sz="1600" b="1" i="0" u="none" strike="noStrike" kern="1200" spc="100" baseline="0">
              <a:ln>
                <a:solidFill>
                  <a:schemeClr val="bg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cat>
            <c:strRef>
              <c:f>Analysis!$A$4:$A$9</c:f>
              <c:strCache>
                <c:ptCount val="5"/>
                <c:pt idx="0">
                  <c:v>2016</c:v>
                </c:pt>
                <c:pt idx="1">
                  <c:v>2017</c:v>
                </c:pt>
                <c:pt idx="2">
                  <c:v>2018</c:v>
                </c:pt>
                <c:pt idx="3">
                  <c:v>2019</c:v>
                </c:pt>
                <c:pt idx="4">
                  <c:v>2020</c:v>
                </c:pt>
              </c:strCache>
            </c:strRef>
          </c:cat>
          <c:val>
            <c:numRef>
              <c:f>Analysis!$B$4:$B$9</c:f>
              <c:numCache>
                <c:formatCode>0.00</c:formatCode>
                <c:ptCount val="5"/>
                <c:pt idx="0">
                  <c:v>112</c:v>
                </c:pt>
                <c:pt idx="1">
                  <c:v>119.72509960159363</c:v>
                </c:pt>
                <c:pt idx="2">
                  <c:v>120.19123505976096</c:v>
                </c:pt>
                <c:pt idx="3">
                  <c:v>131.53968253968253</c:v>
                </c:pt>
                <c:pt idx="4">
                  <c:v>165.02843601895734</c:v>
                </c:pt>
              </c:numCache>
            </c:numRef>
          </c:val>
          <c:smooth val="0"/>
          <c:extLst>
            <c:ext xmlns:c16="http://schemas.microsoft.com/office/drawing/2014/chart" uri="{C3380CC4-5D6E-409C-BE32-E72D297353CC}">
              <c16:uniqueId val="{00000000-3B37-4CBD-9C79-A9B57C302F3B}"/>
            </c:ext>
          </c:extLst>
        </c:ser>
        <c:dLbls>
          <c:showLegendKey val="0"/>
          <c:showVal val="0"/>
          <c:showCatName val="0"/>
          <c:showSerName val="0"/>
          <c:showPercent val="0"/>
          <c:showBubbleSize val="0"/>
        </c:dLbls>
        <c:marker val="1"/>
        <c:smooth val="0"/>
        <c:axId val="1245836975"/>
        <c:axId val="1245824495"/>
      </c:lineChart>
      <c:catAx>
        <c:axId val="1245836975"/>
        <c:scaling>
          <c:orientation val="minMax"/>
        </c:scaling>
        <c:delete val="0"/>
        <c:axPos val="b"/>
        <c:title>
          <c:tx>
            <c:rich>
              <a:bodyPr rot="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r>
                  <a:rPr lang="en-ZA">
                    <a:ln>
                      <a:solidFill>
                        <a:schemeClr val="bg1"/>
                      </a:solidFill>
                    </a:ln>
                  </a:rPr>
                  <a:t>YEAR</a:t>
                </a:r>
              </a:p>
            </c:rich>
          </c:tx>
          <c:overlay val="0"/>
          <c:spPr>
            <a:noFill/>
            <a:ln>
              <a:noFill/>
            </a:ln>
            <a:effectLst/>
          </c:spPr>
          <c:txPr>
            <a:bodyPr rot="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crossAx val="1245824495"/>
        <c:crosses val="autoZero"/>
        <c:auto val="1"/>
        <c:lblAlgn val="ctr"/>
        <c:lblOffset val="100"/>
        <c:noMultiLvlLbl val="0"/>
      </c:catAx>
      <c:valAx>
        <c:axId val="12458244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r>
                  <a:rPr lang="en-ZA">
                    <a:ln>
                      <a:solidFill>
                        <a:schemeClr val="bg1"/>
                      </a:solidFill>
                    </a:ln>
                  </a:rPr>
                  <a:t>PRICE</a:t>
                </a:r>
              </a:p>
            </c:rich>
          </c:tx>
          <c:overlay val="0"/>
          <c:spPr>
            <a:noFill/>
            <a:ln>
              <a:noFill/>
            </a:ln>
            <a:effectLst/>
          </c:spPr>
          <c:txPr>
            <a:bodyPr rot="-540000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crossAx val="12458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Dashboard.xlsx]Analysis!PivotTable2</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ln>
                  <a:solidFill>
                    <a:schemeClr val="bg1"/>
                  </a:solidFill>
                </a:ln>
                <a:solidFill>
                  <a:schemeClr val="bg1"/>
                </a:solidFill>
              </a:rPr>
              <a:t>GOLD MONTHLY</a:t>
            </a:r>
            <a:r>
              <a:rPr lang="en-US" baseline="0">
                <a:ln>
                  <a:solidFill>
                    <a:schemeClr val="bg1"/>
                  </a:solidFill>
                </a:ln>
                <a:solidFill>
                  <a:schemeClr val="bg1"/>
                </a:solidFill>
              </a:rPr>
              <a:t> TREND</a:t>
            </a:r>
            <a:endParaRPr lang="en-US">
              <a:ln>
                <a:solidFill>
                  <a:schemeClr val="bg1"/>
                </a:solidFill>
              </a:l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ysClr val="window" lastClr="FFFFFF"/>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c:f>
              <c:strCache>
                <c:ptCount val="1"/>
                <c:pt idx="0">
                  <c:v>Total</c:v>
                </c:pt>
              </c:strCache>
            </c:strRef>
          </c:tx>
          <c:spPr>
            <a:ln w="28575" cap="rnd">
              <a:solidFill>
                <a:schemeClr val="bg1"/>
              </a:solidFill>
              <a:round/>
            </a:ln>
            <a:effectLst/>
          </c:spPr>
          <c:marker>
            <c:symbol val="circle"/>
            <c:size val="5"/>
            <c:spPr>
              <a:solidFill>
                <a:sysClr val="window" lastClr="FFFFFF"/>
              </a:solidFill>
              <a:ln w="9525">
                <a:solidFill>
                  <a:schemeClr val="bg1"/>
                </a:solidFill>
              </a:ln>
              <a:effectLst/>
            </c:spPr>
          </c:marker>
          <c:cat>
            <c:strRef>
              <c:f>Analysis!$E$4:$E$16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Analysis!$F$4:$F$16</c:f>
              <c:numCache>
                <c:formatCode>0.00</c:formatCode>
                <c:ptCount val="12"/>
                <c:pt idx="0">
                  <c:v>127.50602409638554</c:v>
                </c:pt>
                <c:pt idx="1">
                  <c:v>129.61842105263159</c:v>
                </c:pt>
                <c:pt idx="2">
                  <c:v>128.90804597701148</c:v>
                </c:pt>
                <c:pt idx="3">
                  <c:v>132.2560975609756</c:v>
                </c:pt>
                <c:pt idx="4">
                  <c:v>130.5</c:v>
                </c:pt>
                <c:pt idx="5">
                  <c:v>133.45882352941177</c:v>
                </c:pt>
                <c:pt idx="6">
                  <c:v>136.19999999999999</c:v>
                </c:pt>
                <c:pt idx="7">
                  <c:v>139.6629213483146</c:v>
                </c:pt>
                <c:pt idx="8">
                  <c:v>141.08750000000001</c:v>
                </c:pt>
                <c:pt idx="9">
                  <c:v>138.77777777777777</c:v>
                </c:pt>
                <c:pt idx="10">
                  <c:v>123.30263157894737</c:v>
                </c:pt>
                <c:pt idx="11">
                  <c:v>122.12345679012346</c:v>
                </c:pt>
              </c:numCache>
            </c:numRef>
          </c:val>
          <c:smooth val="0"/>
          <c:extLst>
            <c:ext xmlns:c16="http://schemas.microsoft.com/office/drawing/2014/chart" uri="{C3380CC4-5D6E-409C-BE32-E72D297353CC}">
              <c16:uniqueId val="{00000000-F83F-45BE-B6D6-9E0F0C7EEC49}"/>
            </c:ext>
          </c:extLst>
        </c:ser>
        <c:dLbls>
          <c:showLegendKey val="0"/>
          <c:showVal val="0"/>
          <c:showCatName val="0"/>
          <c:showSerName val="0"/>
          <c:showPercent val="0"/>
          <c:showBubbleSize val="0"/>
        </c:dLbls>
        <c:marker val="1"/>
        <c:smooth val="0"/>
        <c:axId val="415181151"/>
        <c:axId val="415189791"/>
      </c:lineChart>
      <c:catAx>
        <c:axId val="415181151"/>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415189791"/>
        <c:crosses val="autoZero"/>
        <c:auto val="1"/>
        <c:lblAlgn val="ctr"/>
        <c:lblOffset val="100"/>
        <c:noMultiLvlLbl val="0"/>
      </c:catAx>
      <c:valAx>
        <c:axId val="415189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41518115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Dashboard.xlsx]Analysis!PivotTable3</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ln>
                  <a:solidFill>
                    <a:schemeClr val="bg1"/>
                  </a:solidFill>
                </a:ln>
                <a:solidFill>
                  <a:schemeClr val="bg1"/>
                </a:solidFill>
              </a:rPr>
              <a:t>GOLD MARKET SIGNAL</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6131532733364948"/>
              <c:y val="2.5861268982505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29314900025535"/>
              <c:y val="-2.2166801985005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581613244467141"/>
              <c:y val="-9.2361674937521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581613244467141"/>
              <c:y val="-9.2361674937521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29314900025535"/>
              <c:y val="-2.2166801985005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131532733364948"/>
              <c:y val="2.5861268982505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581613244467141"/>
              <c:y val="-9.2361674937521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029314900025535"/>
              <c:y val="-2.2166801985005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131532733364948"/>
              <c:y val="2.5861268982505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E5-484E-B941-AF46B88641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E5-484E-B941-AF46B88641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E5-484E-B941-AF46B8864154}"/>
              </c:ext>
            </c:extLst>
          </c:dPt>
          <c:dLbls>
            <c:dLbl>
              <c:idx val="0"/>
              <c:layout>
                <c:manualLayout>
                  <c:x val="-0.11581613244467141"/>
                  <c:y val="-9.23616749375213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E5-484E-B941-AF46B8864154}"/>
                </c:ext>
              </c:extLst>
            </c:dLbl>
            <c:dLbl>
              <c:idx val="1"/>
              <c:layout>
                <c:manualLayout>
                  <c:x val="0.13029314900025535"/>
                  <c:y val="-2.216680198500515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E5-484E-B941-AF46B8864154}"/>
                </c:ext>
              </c:extLst>
            </c:dLbl>
            <c:dLbl>
              <c:idx val="2"/>
              <c:layout>
                <c:manualLayout>
                  <c:x val="0.16131532733364948"/>
                  <c:y val="2.58612689825058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E5-484E-B941-AF46B8864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Analysis!$I$4:$I$7</c:f>
              <c:strCache>
                <c:ptCount val="3"/>
                <c:pt idx="0">
                  <c:v>DEATH CROSS (Bearish)</c:v>
                </c:pt>
                <c:pt idx="1">
                  <c:v>GOLDEN CROSS (Bullish)</c:v>
                </c:pt>
                <c:pt idx="2">
                  <c:v>Neutral</c:v>
                </c:pt>
              </c:strCache>
            </c:strRef>
          </c:cat>
          <c:val>
            <c:numRef>
              <c:f>Analysis!$J$4:$J$7</c:f>
              <c:numCache>
                <c:formatCode>General</c:formatCode>
                <c:ptCount val="3"/>
                <c:pt idx="0">
                  <c:v>3</c:v>
                </c:pt>
                <c:pt idx="1">
                  <c:v>3</c:v>
                </c:pt>
                <c:pt idx="2">
                  <c:v>994</c:v>
                </c:pt>
              </c:numCache>
            </c:numRef>
          </c:val>
          <c:extLst>
            <c:ext xmlns:c16="http://schemas.microsoft.com/office/drawing/2014/chart" uri="{C3380CC4-5D6E-409C-BE32-E72D297353CC}">
              <c16:uniqueId val="{00000006-98E5-484E-B941-AF46B88641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Dashboard.xlsx]Analysis!PivotTable4</c:name>
    <c:fmtId val="3"/>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bg1"/>
                </a:solidFill>
                <a:latin typeface="+mn-lt"/>
                <a:ea typeface="+mn-ea"/>
                <a:cs typeface="+mn-cs"/>
              </a:defRPr>
            </a:pPr>
            <a:r>
              <a:rPr lang="en-US">
                <a:ln>
                  <a:solidFill>
                    <a:schemeClr val="bg1"/>
                  </a:solidFill>
                </a:ln>
                <a:solidFill>
                  <a:schemeClr val="bg1"/>
                </a:solidFill>
              </a:rPr>
              <a:t>GOLD VOLATILITY TREND</a:t>
            </a:r>
          </a:p>
        </c:rich>
      </c:tx>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Analysis!$N$3</c:f>
              <c:strCache>
                <c:ptCount val="1"/>
                <c:pt idx="0">
                  <c:v>Total</c:v>
                </c:pt>
              </c:strCache>
            </c:strRef>
          </c:tx>
          <c:spPr>
            <a:solidFill>
              <a:schemeClr val="bg1"/>
            </a:solidFill>
            <a:ln>
              <a:solidFill>
                <a:schemeClr val="bg1"/>
              </a:solidFill>
            </a:ln>
            <a:effectLst/>
          </c:spPr>
          <c:invertIfNegative val="0"/>
          <c:cat>
            <c:strRef>
              <c:f>Analysis!$M$4:$M$9</c:f>
              <c:strCache>
                <c:ptCount val="5"/>
                <c:pt idx="0">
                  <c:v>2016</c:v>
                </c:pt>
                <c:pt idx="1">
                  <c:v>2017</c:v>
                </c:pt>
                <c:pt idx="2">
                  <c:v>2018</c:v>
                </c:pt>
                <c:pt idx="3">
                  <c:v>2019</c:v>
                </c:pt>
                <c:pt idx="4">
                  <c:v>2020</c:v>
                </c:pt>
              </c:strCache>
            </c:strRef>
          </c:cat>
          <c:val>
            <c:numRef>
              <c:f>Analysis!$N$4:$N$9</c:f>
              <c:numCache>
                <c:formatCode>General</c:formatCode>
                <c:ptCount val="5"/>
                <c:pt idx="0">
                  <c:v>1</c:v>
                </c:pt>
                <c:pt idx="1">
                  <c:v>0.94023904382470125</c:v>
                </c:pt>
                <c:pt idx="2">
                  <c:v>0.76095617529880477</c:v>
                </c:pt>
                <c:pt idx="3">
                  <c:v>0.84523809523809523</c:v>
                </c:pt>
                <c:pt idx="4">
                  <c:v>1.1848341232227488</c:v>
                </c:pt>
              </c:numCache>
            </c:numRef>
          </c:val>
          <c:extLst>
            <c:ext xmlns:c16="http://schemas.microsoft.com/office/drawing/2014/chart" uri="{C3380CC4-5D6E-409C-BE32-E72D297353CC}">
              <c16:uniqueId val="{00000000-4511-40CB-8905-0204126DFD8D}"/>
            </c:ext>
          </c:extLst>
        </c:ser>
        <c:dLbls>
          <c:showLegendKey val="0"/>
          <c:showVal val="0"/>
          <c:showCatName val="0"/>
          <c:showSerName val="0"/>
          <c:showPercent val="0"/>
          <c:showBubbleSize val="0"/>
        </c:dLbls>
        <c:gapWidth val="355"/>
        <c:overlap val="-70"/>
        <c:axId val="1243189839"/>
        <c:axId val="1243200879"/>
      </c:barChart>
      <c:catAx>
        <c:axId val="1243189839"/>
        <c:scaling>
          <c:orientation val="minMax"/>
        </c:scaling>
        <c:delete val="0"/>
        <c:axPos val="b"/>
        <c:title>
          <c:tx>
            <c:rich>
              <a:bodyPr rot="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r>
                  <a:rPr lang="en-ZA">
                    <a:ln>
                      <a:solidFill>
                        <a:schemeClr val="bg1"/>
                      </a:solidFill>
                    </a:ln>
                    <a:solidFill>
                      <a:schemeClr val="bg1"/>
                    </a:solidFill>
                  </a:rPr>
                  <a:t>YEAR</a:t>
                </a:r>
              </a:p>
            </c:rich>
          </c:tx>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243200879"/>
        <c:crosses val="autoZero"/>
        <c:auto val="1"/>
        <c:lblAlgn val="ctr"/>
        <c:lblOffset val="100"/>
        <c:noMultiLvlLbl val="0"/>
      </c:catAx>
      <c:valAx>
        <c:axId val="12432008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r>
                  <a:rPr lang="en-ZA">
                    <a:ln>
                      <a:solidFill>
                        <a:schemeClr val="bg1"/>
                      </a:solidFill>
                    </a:ln>
                    <a:solidFill>
                      <a:schemeClr val="bg1"/>
                    </a:solidFill>
                  </a:rPr>
                  <a:t>VOLATILY</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2431898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104775</xdr:rowOff>
    </xdr:from>
    <xdr:to>
      <xdr:col>9</xdr:col>
      <xdr:colOff>495300</xdr:colOff>
      <xdr:row>37</xdr:row>
      <xdr:rowOff>121920</xdr:rowOff>
    </xdr:to>
    <xdr:graphicFrame macro="">
      <xdr:nvGraphicFramePr>
        <xdr:cNvPr id="2" name="Chart 1">
          <a:extLst>
            <a:ext uri="{FF2B5EF4-FFF2-40B4-BE49-F238E27FC236}">
              <a16:creationId xmlns:a16="http://schemas.microsoft.com/office/drawing/2014/main" id="{D76E7929-E61D-4CCF-B940-3C25F1E2B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485775</xdr:colOff>
      <xdr:row>22</xdr:row>
      <xdr:rowOff>121920</xdr:rowOff>
    </xdr:from>
    <xdr:to>
      <xdr:col>19</xdr:col>
      <xdr:colOff>47625</xdr:colOff>
      <xdr:row>37</xdr:row>
      <xdr:rowOff>144780</xdr:rowOff>
    </xdr:to>
    <xdr:graphicFrame macro="">
      <xdr:nvGraphicFramePr>
        <xdr:cNvPr id="3" name="Chart 2">
          <a:extLst>
            <a:ext uri="{FF2B5EF4-FFF2-40B4-BE49-F238E27FC236}">
              <a16:creationId xmlns:a16="http://schemas.microsoft.com/office/drawing/2014/main" id="{AE2768FA-37A0-4891-BDF9-B26482D3A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474345</xdr:colOff>
      <xdr:row>39</xdr:row>
      <xdr:rowOff>173355</xdr:rowOff>
    </xdr:from>
    <xdr:to>
      <xdr:col>19</xdr:col>
      <xdr:colOff>53340</xdr:colOff>
      <xdr:row>60</xdr:row>
      <xdr:rowOff>95250</xdr:rowOff>
    </xdr:to>
    <xdr:graphicFrame macro="">
      <xdr:nvGraphicFramePr>
        <xdr:cNvPr id="4" name="Chart 3">
          <a:extLst>
            <a:ext uri="{FF2B5EF4-FFF2-40B4-BE49-F238E27FC236}">
              <a16:creationId xmlns:a16="http://schemas.microsoft.com/office/drawing/2014/main" id="{476972EA-E6E5-4920-97ED-DF0017C92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28576</xdr:rowOff>
    </xdr:from>
    <xdr:to>
      <xdr:col>9</xdr:col>
      <xdr:colOff>506729</xdr:colOff>
      <xdr:row>60</xdr:row>
      <xdr:rowOff>96204</xdr:rowOff>
    </xdr:to>
    <xdr:graphicFrame macro="">
      <xdr:nvGraphicFramePr>
        <xdr:cNvPr id="5" name="Chart 4">
          <a:extLst>
            <a:ext uri="{FF2B5EF4-FFF2-40B4-BE49-F238E27FC236}">
              <a16:creationId xmlns:a16="http://schemas.microsoft.com/office/drawing/2014/main" id="{E83F5F1E-4AF9-4928-86A7-6837AD06F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1</xdr:row>
      <xdr:rowOff>768</xdr:rowOff>
    </xdr:from>
    <xdr:ext cx="13068301" cy="937629"/>
    <xdr:sp macro="" textlink="">
      <xdr:nvSpPr>
        <xdr:cNvPr id="6" name="Rectangle 5">
          <a:extLst>
            <a:ext uri="{FF2B5EF4-FFF2-40B4-BE49-F238E27FC236}">
              <a16:creationId xmlns:a16="http://schemas.microsoft.com/office/drawing/2014/main" id="{099FA110-A884-BD4D-D9D7-8B6A7DE549D5}"/>
            </a:ext>
          </a:extLst>
        </xdr:cNvPr>
        <xdr:cNvSpPr/>
      </xdr:nvSpPr>
      <xdr:spPr>
        <a:xfrm>
          <a:off x="0" y="181743"/>
          <a:ext cx="13068301" cy="937629"/>
        </a:xfrm>
        <a:prstGeom prst="rect">
          <a:avLst/>
        </a:prstGeom>
        <a:noFill/>
      </xdr:spPr>
      <xdr:txBody>
        <a:bodyPr wrap="square" lIns="91440" tIns="45720" rIns="91440" bIns="45720">
          <a:spAutoFit/>
        </a:bodyPr>
        <a:lstStyle/>
        <a:p>
          <a:pPr algn="ctr"/>
          <a:r>
            <a:rPr lang="en-ZA" sz="5400" b="1">
              <a:solidFill>
                <a:schemeClr val="bg1"/>
              </a:solidFill>
            </a:rPr>
            <a:t>GOLD MARKET PERFORMANCE DASHBOARD</a:t>
          </a:r>
          <a:endParaRPr lang="en-GB" sz="54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absolute">
    <xdr:from>
      <xdr:col>0</xdr:col>
      <xdr:colOff>133349</xdr:colOff>
      <xdr:row>13</xdr:row>
      <xdr:rowOff>95250</xdr:rowOff>
    </xdr:from>
    <xdr:to>
      <xdr:col>4</xdr:col>
      <xdr:colOff>173355</xdr:colOff>
      <xdr:row>20</xdr:row>
      <xdr:rowOff>91440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7424FB44-B041-4DE5-82AB-60C6283A5D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7159" y="2863215"/>
              <a:ext cx="2470786" cy="12706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5</xdr:col>
      <xdr:colOff>57151</xdr:colOff>
      <xdr:row>13</xdr:row>
      <xdr:rowOff>95251</xdr:rowOff>
    </xdr:from>
    <xdr:to>
      <xdr:col>9</xdr:col>
      <xdr:colOff>440055</xdr:colOff>
      <xdr:row>20</xdr:row>
      <xdr:rowOff>97155</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5C3F1542-075D-4F7A-9696-2303C839378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01341" y="2863216"/>
              <a:ext cx="2821304" cy="12687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419100</xdr:colOff>
      <xdr:row>13</xdr:row>
      <xdr:rowOff>57149</xdr:rowOff>
    </xdr:from>
    <xdr:to>
      <xdr:col>14</xdr:col>
      <xdr:colOff>419100</xdr:colOff>
      <xdr:row>20</xdr:row>
      <xdr:rowOff>76199</xdr:rowOff>
    </xdr:to>
    <mc:AlternateContent xmlns:mc="http://schemas.openxmlformats.org/markup-compatibility/2006">
      <mc:Choice xmlns:a14="http://schemas.microsoft.com/office/drawing/2010/main" Requires="a14">
        <xdr:graphicFrame macro="">
          <xdr:nvGraphicFramePr>
            <xdr:cNvPr id="10" name="market_signal">
              <a:extLst>
                <a:ext uri="{FF2B5EF4-FFF2-40B4-BE49-F238E27FC236}">
                  <a16:creationId xmlns:a16="http://schemas.microsoft.com/office/drawing/2014/main" id="{3C89F2E6-8BDD-4B06-A1B6-78931D5F87F2}"/>
                </a:ext>
              </a:extLst>
            </xdr:cNvPr>
            <xdr:cNvGraphicFramePr/>
          </xdr:nvGraphicFramePr>
          <xdr:xfrm>
            <a:off x="0" y="0"/>
            <a:ext cx="0" cy="0"/>
          </xdr:xfrm>
          <a:graphic>
            <a:graphicData uri="http://schemas.microsoft.com/office/drawing/2010/slicer">
              <sle:slicer xmlns:sle="http://schemas.microsoft.com/office/drawing/2010/slicer" name="market_signal"/>
            </a:graphicData>
          </a:graphic>
        </xdr:graphicFrame>
      </mc:Choice>
      <mc:Fallback>
        <xdr:sp macro="" textlink="">
          <xdr:nvSpPr>
            <xdr:cNvPr id="0" name=""/>
            <xdr:cNvSpPr>
              <a:spLocks noTextEdit="1"/>
            </xdr:cNvSpPr>
          </xdr:nvSpPr>
          <xdr:spPr>
            <a:xfrm>
              <a:off x="6515100" y="2832734"/>
              <a:ext cx="3086100" cy="128206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7</xdr:col>
      <xdr:colOff>546040</xdr:colOff>
      <xdr:row>61</xdr:row>
      <xdr:rowOff>57918</xdr:rowOff>
    </xdr:from>
    <xdr:ext cx="2822696" cy="937629"/>
    <xdr:sp macro="" textlink="">
      <xdr:nvSpPr>
        <xdr:cNvPr id="11" name="Rectangle 10">
          <a:extLst>
            <a:ext uri="{FF2B5EF4-FFF2-40B4-BE49-F238E27FC236}">
              <a16:creationId xmlns:a16="http://schemas.microsoft.com/office/drawing/2014/main" id="{43E2F7B2-6EED-94A1-2803-D8B7682FDC0B}"/>
            </a:ext>
          </a:extLst>
        </xdr:cNvPr>
        <xdr:cNvSpPr/>
      </xdr:nvSpPr>
      <xdr:spPr>
        <a:xfrm>
          <a:off x="4813240" y="11516493"/>
          <a:ext cx="2822696" cy="937629"/>
        </a:xfrm>
        <a:prstGeom prst="rect">
          <a:avLst/>
        </a:prstGeom>
        <a:noFill/>
      </xdr:spPr>
      <xdr:txBody>
        <a:bodyPr wrap="none" lIns="91440" tIns="45720" rIns="91440" bIns="45720">
          <a:spAutoFit/>
        </a:bodyPr>
        <a:lstStyle/>
        <a:p>
          <a:pPr algn="ctr"/>
          <a:r>
            <a:rPr lang="en-GB" sz="5400" b="0" cap="none" spc="0">
              <a:ln w="0"/>
              <a:solidFill>
                <a:schemeClr val="bg1"/>
              </a:solidFill>
              <a:effectLst>
                <a:outerShdw blurRad="38100" dist="19050" dir="2700000" algn="tl" rotWithShape="0">
                  <a:schemeClr val="dk1">
                    <a:alpha val="40000"/>
                  </a:schemeClr>
                </a:outerShdw>
              </a:effectLst>
            </a:rPr>
            <a:t>INSIGHTS</a:t>
          </a:r>
        </a:p>
      </xdr:txBody>
    </xdr:sp>
    <xdr:clientData/>
  </xdr:oneCellAnchor>
  <xdr:oneCellAnchor>
    <xdr:from>
      <xdr:col>8</xdr:col>
      <xdr:colOff>471610</xdr:colOff>
      <xdr:row>91</xdr:row>
      <xdr:rowOff>116973</xdr:rowOff>
    </xdr:from>
    <xdr:ext cx="4255525" cy="937629"/>
    <xdr:sp macro="" textlink="">
      <xdr:nvSpPr>
        <xdr:cNvPr id="12" name="Rectangle 11">
          <a:extLst>
            <a:ext uri="{FF2B5EF4-FFF2-40B4-BE49-F238E27FC236}">
              <a16:creationId xmlns:a16="http://schemas.microsoft.com/office/drawing/2014/main" id="{111DC41D-AF00-8C93-C185-8E6DCC6B45B7}"/>
            </a:ext>
          </a:extLst>
        </xdr:cNvPr>
        <xdr:cNvSpPr/>
      </xdr:nvSpPr>
      <xdr:spPr>
        <a:xfrm>
          <a:off x="5348410" y="17004798"/>
          <a:ext cx="4255525" cy="937629"/>
        </a:xfrm>
        <a:prstGeom prst="rect">
          <a:avLst/>
        </a:prstGeom>
        <a:noFill/>
      </xdr:spPr>
      <xdr:txBody>
        <a:bodyPr wrap="none" lIns="91440" tIns="45720" rIns="91440" bIns="45720">
          <a:spAutoFit/>
        </a:bodyPr>
        <a:lstStyle/>
        <a:p>
          <a:pPr algn="ctr"/>
          <a:r>
            <a:rPr lang="en-GB" sz="5400" b="1" cap="none" spc="0">
              <a:ln w="0"/>
              <a:solidFill>
                <a:schemeClr val="bg1"/>
              </a:solidFill>
              <a:effectLst>
                <a:outerShdw blurRad="38100" dist="19050" dir="2700000" algn="tl" rotWithShape="0">
                  <a:schemeClr val="dk1">
                    <a:alpha val="40000"/>
                  </a:schemeClr>
                </a:outerShdw>
              </a:effectLst>
            </a:rPr>
            <a:t>CEO Summary</a:t>
          </a:r>
        </a:p>
      </xdr:txBody>
    </xdr:sp>
    <xdr:clientData/>
  </xdr:oneCellAnchor>
  <xdr:twoCellAnchor>
    <xdr:from>
      <xdr:col>3</xdr:col>
      <xdr:colOff>426720</xdr:colOff>
      <xdr:row>97</xdr:row>
      <xdr:rowOff>68580</xdr:rowOff>
    </xdr:from>
    <xdr:to>
      <xdr:col>20</xdr:col>
      <xdr:colOff>220980</xdr:colOff>
      <xdr:row>110</xdr:row>
      <xdr:rowOff>72390</xdr:rowOff>
    </xdr:to>
    <xdr:sp macro="" textlink="">
      <xdr:nvSpPr>
        <xdr:cNvPr id="13" name="TextBox 12">
          <a:extLst>
            <a:ext uri="{FF2B5EF4-FFF2-40B4-BE49-F238E27FC236}">
              <a16:creationId xmlns:a16="http://schemas.microsoft.com/office/drawing/2014/main" id="{ADA02D6A-4DA2-B0C9-B086-27A3C2EB0721}"/>
            </a:ext>
          </a:extLst>
        </xdr:cNvPr>
        <xdr:cNvSpPr txBox="1"/>
      </xdr:nvSpPr>
      <xdr:spPr>
        <a:xfrm>
          <a:off x="2255520" y="18042255"/>
          <a:ext cx="12338685" cy="235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chemeClr val="bg1"/>
              </a:solidFill>
            </a:rPr>
            <a:t>• </a:t>
          </a:r>
          <a:r>
            <a:rPr lang="en-ZA" sz="1400" b="1">
              <a:solidFill>
                <a:schemeClr val="bg1"/>
              </a:solidFill>
              <a:latin typeface="Arial Black" panose="020B0A04020102020204" pitchFamily="34" charset="0"/>
            </a:rPr>
            <a:t>Gold continues to demonstrate a strong long-term upward trend, reinforcing its position as a reliable store of value.</a:t>
          </a:r>
        </a:p>
        <a:p>
          <a:endParaRPr lang="en-ZA" sz="1400" b="1">
            <a:solidFill>
              <a:schemeClr val="bg1"/>
            </a:solidFill>
            <a:latin typeface="Arial Black" panose="020B0A04020102020204" pitchFamily="34" charset="0"/>
          </a:endParaRPr>
        </a:p>
        <a:p>
          <a:r>
            <a:rPr lang="en-ZA" sz="1400" b="1">
              <a:solidFill>
                <a:schemeClr val="bg1"/>
              </a:solidFill>
              <a:latin typeface="Arial Black" panose="020B0A04020102020204" pitchFamily="34" charset="0"/>
            </a:rPr>
            <a:t>• Periods of elevated volatility indicate increased uncertainty in the market, but also present significant trading opportunities.</a:t>
          </a:r>
        </a:p>
        <a:p>
          <a:endParaRPr lang="en-ZA" sz="1400" b="1">
            <a:solidFill>
              <a:schemeClr val="bg1"/>
            </a:solidFill>
            <a:latin typeface="Arial Black" panose="020B0A04020102020204" pitchFamily="34" charset="0"/>
          </a:endParaRPr>
        </a:p>
        <a:p>
          <a:r>
            <a:rPr lang="en-ZA" sz="1400" b="1">
              <a:solidFill>
                <a:schemeClr val="bg1"/>
              </a:solidFill>
              <a:latin typeface="Arial Black" panose="020B0A04020102020204" pitchFamily="34" charset="0"/>
            </a:rPr>
            <a:t>• Seasonal patterns suggest that certain months consistently outperform others, providing strategic entry and exit timing advantages.</a:t>
          </a:r>
        </a:p>
        <a:p>
          <a:endParaRPr lang="en-ZA" sz="1400" b="1">
            <a:solidFill>
              <a:schemeClr val="bg1"/>
            </a:solidFill>
            <a:latin typeface="Arial Black" panose="020B0A04020102020204" pitchFamily="34" charset="0"/>
          </a:endParaRPr>
        </a:p>
        <a:p>
          <a:r>
            <a:rPr lang="en-ZA" sz="1400" b="1">
              <a:solidFill>
                <a:schemeClr val="bg1"/>
              </a:solidFill>
              <a:latin typeface="Arial Black" panose="020B0A04020102020204" pitchFamily="34" charset="0"/>
            </a:rPr>
            <a:t>• Overall, the market shows a balance between consolidation and trend phases, requiring a disciplined approach to capitalize on high-probability opportunities while managing risk effectively.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479575115744" createdVersion="8" refreshedVersion="8" minRefreshableVersion="3" recordCount="1000" xr:uid="{F848B4BC-5AA6-45D6-B5B5-F5148357895E}">
  <cacheSource type="worksheet">
    <worksheetSource name="GoldData"/>
  </cacheSource>
  <cacheFields count="17">
    <cacheField name="Date" numFmtId="14">
      <sharedItems containsSemiMixedTypes="0" containsNonDate="0" containsDate="1" containsString="0" minDate="2016-11-10T00:00:00" maxDate="2020-10-31T00:00:00"/>
    </cacheField>
    <cacheField name="Close_Price" numFmtId="2">
      <sharedItems containsSemiMixedTypes="0" containsString="0" containsNumber="1" containsInteger="1" minValue="107" maxValue="194"/>
    </cacheField>
    <cacheField name="High" numFmtId="2">
      <sharedItems containsSemiMixedTypes="0" containsString="0" containsNumber="1" containsInteger="1" minValue="108" maxValue="194"/>
    </cacheField>
    <cacheField name="Low" numFmtId="2">
      <sharedItems containsSemiMixedTypes="0" containsString="0" containsNumber="1" containsInteger="1" minValue="107" maxValue="193"/>
    </cacheField>
    <cacheField name="Open_Price" numFmtId="2">
      <sharedItems containsSemiMixedTypes="0" containsString="0" containsNumber="1" containsInteger="1" minValue="107" maxValue="194"/>
    </cacheField>
    <cacheField name="Volume" numFmtId="43">
      <sharedItems containsSemiMixedTypes="0" containsString="0" containsNumber="1" containsInteger="1" minValue="1779700" maxValue="45355000"/>
    </cacheField>
    <cacheField name="Adj_Close" numFmtId="2">
      <sharedItems containsSemiMixedTypes="0" containsString="0" containsNumber="1" containsInteger="1" minValue="107" maxValue="194"/>
    </cacheField>
    <cacheField name="Daily_Return" numFmtId="0">
      <sharedItems containsSemiMixedTypes="0" containsString="0" containsNumber="1" containsInteger="1" minValue="-5" maxValue="5"/>
    </cacheField>
    <cacheField name="MA_20" numFmtId="0">
      <sharedItems containsSemiMixedTypes="0" containsString="0" containsNumber="1" containsInteger="1" minValue="109" maxValue="185"/>
    </cacheField>
    <cacheField name="MA_50" numFmtId="0">
      <sharedItems containsSemiMixedTypes="0" containsString="0" containsNumber="1" containsInteger="1" minValue="112" maxValue="183"/>
    </cacheField>
    <cacheField name="MA_200" numFmtId="0">
      <sharedItems containsSemiMixedTypes="0" containsString="0" containsNumber="1" containsInteger="1" minValue="117" maxValue="166"/>
    </cacheField>
    <cacheField name="Volatility_20" numFmtId="0">
      <sharedItems containsSemiMixedTypes="0" containsString="0" containsNumber="1" containsInteger="1" minValue="0" maxValue="2"/>
    </cacheField>
    <cacheField name="Year" numFmtId="0">
      <sharedItems containsSemiMixedTypes="0" containsString="0" containsNumber="1" containsInteger="1" minValue="2016" maxValue="2020" count="5">
        <n v="2016"/>
        <n v="2017"/>
        <n v="2018"/>
        <n v="2019"/>
        <n v="2020"/>
      </sharedItems>
    </cacheField>
    <cacheField name="Month" numFmtId="0">
      <sharedItems containsSemiMixedTypes="0" containsString="0" containsNumber="1" containsInteger="1" minValue="1" maxValue="12" count="12">
        <n v="11"/>
        <n v="12"/>
        <n v="1"/>
        <n v="2"/>
        <n v="3"/>
        <n v="4"/>
        <n v="5"/>
        <n v="6"/>
        <n v="7"/>
        <n v="8"/>
        <n v="9"/>
        <n v="10"/>
      </sharedItems>
    </cacheField>
    <cacheField name="Day_of_Week" numFmtId="0">
      <sharedItems containsSemiMixedTypes="0" containsString="0" containsNumber="1" containsInteger="1" minValue="0" maxValue="4"/>
    </cacheField>
    <cacheField name="Quarter" numFmtId="0">
      <sharedItems containsSemiMixedTypes="0" containsString="0" containsNumber="1" containsInteger="1" minValue="1" maxValue="4"/>
    </cacheField>
    <cacheField name="market_signal" numFmtId="0">
      <sharedItems count="3">
        <s v="Neutral"/>
        <s v="DEATH CROSS (Bearish)"/>
        <s v="GOLDEN CROSS (Bullish)"/>
      </sharedItems>
    </cacheField>
  </cacheFields>
  <extLst>
    <ext xmlns:x14="http://schemas.microsoft.com/office/spreadsheetml/2009/9/main" uri="{725AE2AE-9491-48be-B2B4-4EB974FC3084}">
      <x14:pivotCacheDefinition pivotCacheId="1253262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6-11-10T00:00:00"/>
    <n v="120"/>
    <n v="122"/>
    <n v="119"/>
    <n v="122"/>
    <n v="22268000"/>
    <n v="120"/>
    <n v="-1"/>
    <n v="121"/>
    <n v="123"/>
    <n v="122"/>
    <n v="1"/>
    <x v="0"/>
    <x v="0"/>
    <n v="3"/>
    <n v="4"/>
    <x v="0"/>
  </r>
  <r>
    <d v="2016-11-11T00:00:00"/>
    <n v="117"/>
    <n v="120"/>
    <n v="116"/>
    <n v="120"/>
    <n v="20381800"/>
    <n v="117"/>
    <n v="-2"/>
    <n v="121"/>
    <n v="123"/>
    <n v="122"/>
    <n v="1"/>
    <x v="0"/>
    <x v="0"/>
    <n v="4"/>
    <n v="4"/>
    <x v="0"/>
  </r>
  <r>
    <d v="2016-11-14T00:00:00"/>
    <n v="116"/>
    <n v="117"/>
    <n v="115"/>
    <n v="116"/>
    <n v="20729400"/>
    <n v="116"/>
    <n v="-1"/>
    <n v="121"/>
    <n v="123"/>
    <n v="122"/>
    <n v="1"/>
    <x v="0"/>
    <x v="0"/>
    <n v="0"/>
    <n v="4"/>
    <x v="0"/>
  </r>
  <r>
    <d v="2016-11-15T00:00:00"/>
    <n v="117"/>
    <n v="117"/>
    <n v="116"/>
    <n v="116"/>
    <n v="9348600"/>
    <n v="117"/>
    <n v="1"/>
    <n v="121"/>
    <n v="123"/>
    <n v="122"/>
    <n v="1"/>
    <x v="0"/>
    <x v="0"/>
    <n v="1"/>
    <n v="4"/>
    <x v="0"/>
  </r>
  <r>
    <d v="2016-11-16T00:00:00"/>
    <n v="117"/>
    <n v="117"/>
    <n v="117"/>
    <n v="117"/>
    <n v="5486100"/>
    <n v="117"/>
    <n v="0"/>
    <n v="121"/>
    <n v="123"/>
    <n v="122"/>
    <n v="1"/>
    <x v="0"/>
    <x v="0"/>
    <n v="2"/>
    <n v="4"/>
    <x v="0"/>
  </r>
  <r>
    <d v="2016-11-17T00:00:00"/>
    <n v="116"/>
    <n v="117"/>
    <n v="115"/>
    <n v="117"/>
    <n v="10342300"/>
    <n v="116"/>
    <n v="-1"/>
    <n v="121"/>
    <n v="122"/>
    <n v="122"/>
    <n v="1"/>
    <x v="0"/>
    <x v="0"/>
    <n v="3"/>
    <n v="4"/>
    <x v="1"/>
  </r>
  <r>
    <d v="2016-11-18T00:00:00"/>
    <n v="115"/>
    <n v="116"/>
    <n v="115"/>
    <n v="116"/>
    <n v="10444300"/>
    <n v="115"/>
    <n v="-1"/>
    <n v="120"/>
    <n v="122"/>
    <n v="122"/>
    <n v="1"/>
    <x v="0"/>
    <x v="0"/>
    <n v="4"/>
    <n v="4"/>
    <x v="0"/>
  </r>
  <r>
    <d v="2016-11-21T00:00:00"/>
    <n v="116"/>
    <n v="116"/>
    <n v="115"/>
    <n v="116"/>
    <n v="6654200"/>
    <n v="116"/>
    <n v="0"/>
    <n v="120"/>
    <n v="122"/>
    <n v="122"/>
    <n v="1"/>
    <x v="0"/>
    <x v="0"/>
    <n v="0"/>
    <n v="4"/>
    <x v="0"/>
  </r>
  <r>
    <d v="2016-11-22T00:00:00"/>
    <n v="116"/>
    <n v="116"/>
    <n v="115"/>
    <n v="116"/>
    <n v="6391900"/>
    <n v="116"/>
    <n v="0"/>
    <n v="120"/>
    <n v="122"/>
    <n v="122"/>
    <n v="1"/>
    <x v="0"/>
    <x v="0"/>
    <n v="1"/>
    <n v="4"/>
    <x v="0"/>
  </r>
  <r>
    <d v="2016-11-23T00:00:00"/>
    <n v="113"/>
    <n v="114"/>
    <n v="113"/>
    <n v="114"/>
    <n v="20982100"/>
    <n v="113"/>
    <n v="-2"/>
    <n v="119"/>
    <n v="121"/>
    <n v="122"/>
    <n v="1"/>
    <x v="0"/>
    <x v="0"/>
    <n v="2"/>
    <n v="4"/>
    <x v="0"/>
  </r>
  <r>
    <d v="2016-11-25T00:00:00"/>
    <n v="113"/>
    <n v="114"/>
    <n v="112"/>
    <n v="113"/>
    <n v="5345900"/>
    <n v="113"/>
    <n v="-1"/>
    <n v="119"/>
    <n v="121"/>
    <n v="122"/>
    <n v="1"/>
    <x v="0"/>
    <x v="0"/>
    <n v="4"/>
    <n v="4"/>
    <x v="0"/>
  </r>
  <r>
    <d v="2016-11-28T00:00:00"/>
    <n v="114"/>
    <n v="114"/>
    <n v="113"/>
    <n v="113"/>
    <n v="5655400"/>
    <n v="114"/>
    <n v="1"/>
    <n v="119"/>
    <n v="121"/>
    <n v="122"/>
    <n v="1"/>
    <x v="0"/>
    <x v="0"/>
    <n v="0"/>
    <n v="4"/>
    <x v="0"/>
  </r>
  <r>
    <d v="2016-11-29T00:00:00"/>
    <n v="113"/>
    <n v="113"/>
    <n v="113"/>
    <n v="113"/>
    <n v="7438600"/>
    <n v="113"/>
    <n v="0"/>
    <n v="118"/>
    <n v="121"/>
    <n v="122"/>
    <n v="1"/>
    <x v="0"/>
    <x v="0"/>
    <n v="1"/>
    <n v="4"/>
    <x v="0"/>
  </r>
  <r>
    <d v="2016-11-30T00:00:00"/>
    <n v="112"/>
    <n v="113"/>
    <n v="112"/>
    <n v="113"/>
    <n v="10925500"/>
    <n v="112"/>
    <n v="-1"/>
    <n v="118"/>
    <n v="120"/>
    <n v="122"/>
    <n v="1"/>
    <x v="0"/>
    <x v="0"/>
    <n v="2"/>
    <n v="4"/>
    <x v="0"/>
  </r>
  <r>
    <d v="2016-12-01T00:00:00"/>
    <n v="112"/>
    <n v="112"/>
    <n v="111"/>
    <n v="111"/>
    <n v="10237000"/>
    <n v="112"/>
    <n v="0"/>
    <n v="117"/>
    <n v="120"/>
    <n v="122"/>
    <n v="1"/>
    <x v="0"/>
    <x v="1"/>
    <n v="3"/>
    <n v="4"/>
    <x v="0"/>
  </r>
  <r>
    <d v="2016-12-02T00:00:00"/>
    <n v="112"/>
    <n v="112"/>
    <n v="112"/>
    <n v="112"/>
    <n v="7416500"/>
    <n v="112"/>
    <n v="1"/>
    <n v="116"/>
    <n v="120"/>
    <n v="122"/>
    <n v="1"/>
    <x v="0"/>
    <x v="1"/>
    <n v="4"/>
    <n v="4"/>
    <x v="0"/>
  </r>
  <r>
    <d v="2016-12-05T00:00:00"/>
    <n v="112"/>
    <n v="112"/>
    <n v="110"/>
    <n v="111"/>
    <n v="10187900"/>
    <n v="112"/>
    <n v="-1"/>
    <n v="116"/>
    <n v="120"/>
    <n v="122"/>
    <n v="1"/>
    <x v="0"/>
    <x v="1"/>
    <n v="0"/>
    <n v="4"/>
    <x v="0"/>
  </r>
  <r>
    <d v="2016-12-06T00:00:00"/>
    <n v="111"/>
    <n v="112"/>
    <n v="111"/>
    <n v="112"/>
    <n v="5533700"/>
    <n v="111"/>
    <n v="0"/>
    <n v="115"/>
    <n v="119"/>
    <n v="122"/>
    <n v="1"/>
    <x v="0"/>
    <x v="1"/>
    <n v="1"/>
    <n v="4"/>
    <x v="0"/>
  </r>
  <r>
    <d v="2016-12-07T00:00:00"/>
    <n v="112"/>
    <n v="113"/>
    <n v="112"/>
    <n v="112"/>
    <n v="4901800"/>
    <n v="112"/>
    <n v="0"/>
    <n v="115"/>
    <n v="119"/>
    <n v="122"/>
    <n v="1"/>
    <x v="0"/>
    <x v="1"/>
    <n v="2"/>
    <n v="4"/>
    <x v="0"/>
  </r>
  <r>
    <d v="2016-12-08T00:00:00"/>
    <n v="112"/>
    <n v="112"/>
    <n v="111"/>
    <n v="112"/>
    <n v="5977800"/>
    <n v="112"/>
    <n v="0"/>
    <n v="114"/>
    <n v="119"/>
    <n v="122"/>
    <n v="1"/>
    <x v="0"/>
    <x v="1"/>
    <n v="3"/>
    <n v="4"/>
    <x v="0"/>
  </r>
  <r>
    <d v="2016-12-09T00:00:00"/>
    <n v="110"/>
    <n v="111"/>
    <n v="110"/>
    <n v="111"/>
    <n v="10507700"/>
    <n v="110"/>
    <n v="-1"/>
    <n v="114"/>
    <n v="118"/>
    <n v="122"/>
    <n v="1"/>
    <x v="0"/>
    <x v="1"/>
    <n v="4"/>
    <n v="4"/>
    <x v="0"/>
  </r>
  <r>
    <d v="2016-12-12T00:00:00"/>
    <n v="111"/>
    <n v="111"/>
    <n v="110"/>
    <n v="111"/>
    <n v="6156700"/>
    <n v="111"/>
    <n v="0"/>
    <n v="113"/>
    <n v="118"/>
    <n v="122"/>
    <n v="1"/>
    <x v="0"/>
    <x v="1"/>
    <n v="0"/>
    <n v="4"/>
    <x v="0"/>
  </r>
  <r>
    <d v="2016-12-13T00:00:00"/>
    <n v="110"/>
    <n v="111"/>
    <n v="110"/>
    <n v="111"/>
    <n v="7961600"/>
    <n v="110"/>
    <n v="0"/>
    <n v="113"/>
    <n v="118"/>
    <n v="122"/>
    <n v="1"/>
    <x v="0"/>
    <x v="1"/>
    <n v="1"/>
    <n v="4"/>
    <x v="0"/>
  </r>
  <r>
    <d v="2016-12-14T00:00:00"/>
    <n v="109"/>
    <n v="111"/>
    <n v="109"/>
    <n v="111"/>
    <n v="12933600"/>
    <n v="109"/>
    <n v="-1"/>
    <n v="113"/>
    <n v="117"/>
    <n v="122"/>
    <n v="1"/>
    <x v="0"/>
    <x v="1"/>
    <n v="2"/>
    <n v="4"/>
    <x v="0"/>
  </r>
  <r>
    <d v="2016-12-15T00:00:00"/>
    <n v="107"/>
    <n v="108"/>
    <n v="107"/>
    <n v="108"/>
    <n v="14427500"/>
    <n v="107"/>
    <n v="-1"/>
    <n v="112"/>
    <n v="117"/>
    <n v="122"/>
    <n v="1"/>
    <x v="0"/>
    <x v="1"/>
    <n v="3"/>
    <n v="4"/>
    <x v="0"/>
  </r>
  <r>
    <d v="2016-12-16T00:00:00"/>
    <n v="108"/>
    <n v="109"/>
    <n v="107"/>
    <n v="108"/>
    <n v="10602800"/>
    <n v="108"/>
    <n v="1"/>
    <n v="112"/>
    <n v="117"/>
    <n v="122"/>
    <n v="1"/>
    <x v="0"/>
    <x v="1"/>
    <n v="4"/>
    <n v="4"/>
    <x v="0"/>
  </r>
  <r>
    <d v="2016-12-19T00:00:00"/>
    <n v="109"/>
    <n v="109"/>
    <n v="108"/>
    <n v="109"/>
    <n v="5339100"/>
    <n v="109"/>
    <n v="0"/>
    <n v="112"/>
    <n v="117"/>
    <n v="122"/>
    <n v="1"/>
    <x v="0"/>
    <x v="1"/>
    <n v="0"/>
    <n v="4"/>
    <x v="0"/>
  </r>
  <r>
    <d v="2016-12-20T00:00:00"/>
    <n v="108"/>
    <n v="108"/>
    <n v="107"/>
    <n v="107"/>
    <n v="7321100"/>
    <n v="108"/>
    <n v="-1"/>
    <n v="111"/>
    <n v="117"/>
    <n v="122"/>
    <n v="1"/>
    <x v="0"/>
    <x v="1"/>
    <n v="1"/>
    <n v="4"/>
    <x v="0"/>
  </r>
  <r>
    <d v="2016-12-21T00:00:00"/>
    <n v="108"/>
    <n v="108"/>
    <n v="108"/>
    <n v="108"/>
    <n v="5188700"/>
    <n v="108"/>
    <n v="0"/>
    <n v="111"/>
    <n v="116"/>
    <n v="121"/>
    <n v="1"/>
    <x v="0"/>
    <x v="1"/>
    <n v="2"/>
    <n v="4"/>
    <x v="0"/>
  </r>
  <r>
    <d v="2016-12-22T00:00:00"/>
    <n v="108"/>
    <n v="108"/>
    <n v="107"/>
    <n v="108"/>
    <n v="4942800"/>
    <n v="108"/>
    <n v="0"/>
    <n v="110"/>
    <n v="116"/>
    <n v="121"/>
    <n v="1"/>
    <x v="0"/>
    <x v="1"/>
    <n v="3"/>
    <n v="4"/>
    <x v="0"/>
  </r>
  <r>
    <d v="2016-12-23T00:00:00"/>
    <n v="108"/>
    <n v="108"/>
    <n v="108"/>
    <n v="108"/>
    <n v="5012200"/>
    <n v="108"/>
    <n v="0"/>
    <n v="110"/>
    <n v="116"/>
    <n v="121"/>
    <n v="1"/>
    <x v="0"/>
    <x v="1"/>
    <n v="4"/>
    <n v="4"/>
    <x v="0"/>
  </r>
  <r>
    <d v="2016-12-27T00:00:00"/>
    <n v="109"/>
    <n v="109"/>
    <n v="108"/>
    <n v="109"/>
    <n v="3685500"/>
    <n v="109"/>
    <n v="1"/>
    <n v="110"/>
    <n v="116"/>
    <n v="121"/>
    <n v="1"/>
    <x v="0"/>
    <x v="1"/>
    <n v="1"/>
    <n v="4"/>
    <x v="0"/>
  </r>
  <r>
    <d v="2016-12-28T00:00:00"/>
    <n v="109"/>
    <n v="109"/>
    <n v="108"/>
    <n v="108"/>
    <n v="5091200"/>
    <n v="109"/>
    <n v="0"/>
    <n v="110"/>
    <n v="115"/>
    <n v="121"/>
    <n v="1"/>
    <x v="0"/>
    <x v="1"/>
    <n v="2"/>
    <n v="4"/>
    <x v="0"/>
  </r>
  <r>
    <d v="2016-12-29T00:00:00"/>
    <n v="110"/>
    <n v="111"/>
    <n v="109"/>
    <n v="109"/>
    <n v="7563900"/>
    <n v="110"/>
    <n v="1"/>
    <n v="110"/>
    <n v="115"/>
    <n v="121"/>
    <n v="1"/>
    <x v="0"/>
    <x v="1"/>
    <n v="3"/>
    <n v="4"/>
    <x v="0"/>
  </r>
  <r>
    <d v="2016-12-30T00:00:00"/>
    <n v="110"/>
    <n v="111"/>
    <n v="110"/>
    <n v="110"/>
    <n v="8873700"/>
    <n v="110"/>
    <n v="-1"/>
    <n v="110"/>
    <n v="115"/>
    <n v="121"/>
    <n v="1"/>
    <x v="0"/>
    <x v="1"/>
    <n v="4"/>
    <n v="4"/>
    <x v="0"/>
  </r>
  <r>
    <d v="2017-01-03T00:00:00"/>
    <n v="110"/>
    <n v="111"/>
    <n v="109"/>
    <n v="110"/>
    <n v="7527400"/>
    <n v="110"/>
    <n v="1"/>
    <n v="109"/>
    <n v="115"/>
    <n v="121"/>
    <n v="1"/>
    <x v="1"/>
    <x v="2"/>
    <n v="1"/>
    <n v="1"/>
    <x v="0"/>
  </r>
  <r>
    <d v="2017-01-04T00:00:00"/>
    <n v="111"/>
    <n v="111"/>
    <n v="111"/>
    <n v="111"/>
    <n v="4904100"/>
    <n v="111"/>
    <n v="0"/>
    <n v="109"/>
    <n v="115"/>
    <n v="121"/>
    <n v="1"/>
    <x v="1"/>
    <x v="2"/>
    <n v="2"/>
    <n v="1"/>
    <x v="0"/>
  </r>
  <r>
    <d v="2017-01-05T00:00:00"/>
    <n v="113"/>
    <n v="113"/>
    <n v="112"/>
    <n v="112"/>
    <n v="9606800"/>
    <n v="113"/>
    <n v="2"/>
    <n v="110"/>
    <n v="114"/>
    <n v="121"/>
    <n v="1"/>
    <x v="1"/>
    <x v="2"/>
    <n v="3"/>
    <n v="1"/>
    <x v="0"/>
  </r>
  <r>
    <d v="2017-01-06T00:00:00"/>
    <n v="112"/>
    <n v="112"/>
    <n v="112"/>
    <n v="112"/>
    <n v="7686100"/>
    <n v="112"/>
    <n v="-1"/>
    <n v="110"/>
    <n v="114"/>
    <n v="121"/>
    <n v="1"/>
    <x v="1"/>
    <x v="2"/>
    <n v="4"/>
    <n v="1"/>
    <x v="0"/>
  </r>
  <r>
    <d v="2017-01-09T00:00:00"/>
    <n v="113"/>
    <n v="113"/>
    <n v="112"/>
    <n v="112"/>
    <n v="5674600"/>
    <n v="113"/>
    <n v="1"/>
    <n v="110"/>
    <n v="114"/>
    <n v="121"/>
    <n v="1"/>
    <x v="1"/>
    <x v="2"/>
    <n v="0"/>
    <n v="1"/>
    <x v="0"/>
  </r>
  <r>
    <d v="2017-01-10T00:00:00"/>
    <n v="113"/>
    <n v="113"/>
    <n v="113"/>
    <n v="113"/>
    <n v="6093400"/>
    <n v="113"/>
    <n v="0"/>
    <n v="110"/>
    <n v="114"/>
    <n v="121"/>
    <n v="1"/>
    <x v="1"/>
    <x v="2"/>
    <n v="1"/>
    <n v="1"/>
    <x v="0"/>
  </r>
  <r>
    <d v="2017-01-11T00:00:00"/>
    <n v="114"/>
    <n v="114"/>
    <n v="112"/>
    <n v="113"/>
    <n v="9918700"/>
    <n v="114"/>
    <n v="0"/>
    <n v="110"/>
    <n v="114"/>
    <n v="121"/>
    <n v="1"/>
    <x v="1"/>
    <x v="2"/>
    <n v="2"/>
    <n v="1"/>
    <x v="0"/>
  </r>
  <r>
    <d v="2017-01-12T00:00:00"/>
    <n v="114"/>
    <n v="115"/>
    <n v="114"/>
    <n v="115"/>
    <n v="8457300"/>
    <n v="114"/>
    <n v="0"/>
    <n v="110"/>
    <n v="114"/>
    <n v="121"/>
    <n v="1"/>
    <x v="1"/>
    <x v="2"/>
    <n v="3"/>
    <n v="1"/>
    <x v="0"/>
  </r>
  <r>
    <d v="2017-01-13T00:00:00"/>
    <n v="114"/>
    <n v="114"/>
    <n v="113"/>
    <n v="114"/>
    <n v="7261500"/>
    <n v="114"/>
    <n v="0"/>
    <n v="110"/>
    <n v="113"/>
    <n v="121"/>
    <n v="1"/>
    <x v="1"/>
    <x v="2"/>
    <n v="4"/>
    <n v="1"/>
    <x v="0"/>
  </r>
  <r>
    <d v="2017-01-17T00:00:00"/>
    <n v="116"/>
    <n v="116"/>
    <n v="116"/>
    <n v="116"/>
    <n v="9142400"/>
    <n v="116"/>
    <n v="1"/>
    <n v="111"/>
    <n v="113"/>
    <n v="121"/>
    <n v="1"/>
    <x v="1"/>
    <x v="2"/>
    <n v="1"/>
    <n v="1"/>
    <x v="0"/>
  </r>
  <r>
    <d v="2017-01-18T00:00:00"/>
    <n v="115"/>
    <n v="116"/>
    <n v="115"/>
    <n v="116"/>
    <n v="6498100"/>
    <n v="115"/>
    <n v="-1"/>
    <n v="111"/>
    <n v="113"/>
    <n v="121"/>
    <n v="1"/>
    <x v="1"/>
    <x v="2"/>
    <n v="2"/>
    <n v="1"/>
    <x v="0"/>
  </r>
  <r>
    <d v="2017-01-19T00:00:00"/>
    <n v="115"/>
    <n v="115"/>
    <n v="114"/>
    <n v="114"/>
    <n v="6437000"/>
    <n v="115"/>
    <n v="0"/>
    <n v="111"/>
    <n v="113"/>
    <n v="121"/>
    <n v="1"/>
    <x v="1"/>
    <x v="2"/>
    <n v="3"/>
    <n v="1"/>
    <x v="0"/>
  </r>
  <r>
    <d v="2017-01-20T00:00:00"/>
    <n v="115"/>
    <n v="116"/>
    <n v="114"/>
    <n v="115"/>
    <n v="12261500"/>
    <n v="115"/>
    <n v="0"/>
    <n v="112"/>
    <n v="113"/>
    <n v="121"/>
    <n v="1"/>
    <x v="1"/>
    <x v="2"/>
    <n v="4"/>
    <n v="1"/>
    <x v="0"/>
  </r>
  <r>
    <d v="2017-01-23T00:00:00"/>
    <n v="116"/>
    <n v="116"/>
    <n v="115"/>
    <n v="116"/>
    <n v="6373100"/>
    <n v="116"/>
    <n v="1"/>
    <n v="112"/>
    <n v="113"/>
    <n v="121"/>
    <n v="1"/>
    <x v="1"/>
    <x v="2"/>
    <n v="0"/>
    <n v="1"/>
    <x v="0"/>
  </r>
  <r>
    <d v="2017-01-24T00:00:00"/>
    <n v="115"/>
    <n v="116"/>
    <n v="115"/>
    <n v="116"/>
    <n v="5798800"/>
    <n v="115"/>
    <n v="0"/>
    <n v="112"/>
    <n v="112"/>
    <n v="121"/>
    <n v="1"/>
    <x v="1"/>
    <x v="2"/>
    <n v="1"/>
    <n v="1"/>
    <x v="0"/>
  </r>
  <r>
    <d v="2017-01-25T00:00:00"/>
    <n v="114"/>
    <n v="114"/>
    <n v="114"/>
    <n v="114"/>
    <n v="6697500"/>
    <n v="114"/>
    <n v="-1"/>
    <n v="113"/>
    <n v="112"/>
    <n v="121"/>
    <n v="1"/>
    <x v="1"/>
    <x v="2"/>
    <n v="2"/>
    <n v="1"/>
    <x v="0"/>
  </r>
  <r>
    <d v="2017-01-26T00:00:00"/>
    <n v="113"/>
    <n v="114"/>
    <n v="113"/>
    <n v="113"/>
    <n v="5390500"/>
    <n v="113"/>
    <n v="-1"/>
    <n v="113"/>
    <n v="112"/>
    <n v="121"/>
    <n v="1"/>
    <x v="1"/>
    <x v="2"/>
    <n v="3"/>
    <n v="1"/>
    <x v="0"/>
  </r>
  <r>
    <d v="2017-01-27T00:00:00"/>
    <n v="113"/>
    <n v="114"/>
    <n v="113"/>
    <n v="113"/>
    <n v="6706600"/>
    <n v="113"/>
    <n v="0"/>
    <n v="113"/>
    <n v="112"/>
    <n v="121"/>
    <n v="1"/>
    <x v="1"/>
    <x v="2"/>
    <n v="4"/>
    <n v="1"/>
    <x v="0"/>
  </r>
  <r>
    <d v="2017-01-30T00:00:00"/>
    <n v="114"/>
    <n v="114"/>
    <n v="114"/>
    <n v="114"/>
    <n v="7687800"/>
    <n v="114"/>
    <n v="0"/>
    <n v="113"/>
    <n v="112"/>
    <n v="121"/>
    <n v="1"/>
    <x v="1"/>
    <x v="2"/>
    <n v="0"/>
    <n v="1"/>
    <x v="0"/>
  </r>
  <r>
    <d v="2017-01-31T00:00:00"/>
    <n v="116"/>
    <n v="116"/>
    <n v="115"/>
    <n v="115"/>
    <n v="10421900"/>
    <n v="116"/>
    <n v="1"/>
    <n v="114"/>
    <n v="112"/>
    <n v="121"/>
    <n v="1"/>
    <x v="1"/>
    <x v="2"/>
    <n v="1"/>
    <n v="1"/>
    <x v="0"/>
  </r>
  <r>
    <d v="2017-02-01T00:00:00"/>
    <n v="115"/>
    <n v="115"/>
    <n v="114"/>
    <n v="115"/>
    <n v="6932900"/>
    <n v="115"/>
    <n v="0"/>
    <n v="114"/>
    <n v="112"/>
    <n v="121"/>
    <n v="1"/>
    <x v="1"/>
    <x v="3"/>
    <n v="2"/>
    <n v="1"/>
    <x v="0"/>
  </r>
  <r>
    <d v="2017-02-02T00:00:00"/>
    <n v="116"/>
    <n v="117"/>
    <n v="116"/>
    <n v="116"/>
    <n v="7189500"/>
    <n v="116"/>
    <n v="1"/>
    <n v="114"/>
    <n v="112"/>
    <n v="121"/>
    <n v="1"/>
    <x v="1"/>
    <x v="3"/>
    <n v="3"/>
    <n v="1"/>
    <x v="0"/>
  </r>
  <r>
    <d v="2017-02-03T00:00:00"/>
    <n v="116"/>
    <n v="116"/>
    <n v="116"/>
    <n v="116"/>
    <n v="9455500"/>
    <n v="116"/>
    <n v="0"/>
    <n v="114"/>
    <n v="112"/>
    <n v="121"/>
    <n v="1"/>
    <x v="1"/>
    <x v="3"/>
    <n v="4"/>
    <n v="1"/>
    <x v="0"/>
  </r>
  <r>
    <d v="2017-02-06T00:00:00"/>
    <n v="118"/>
    <n v="118"/>
    <n v="117"/>
    <n v="117"/>
    <n v="8547800"/>
    <n v="118"/>
    <n v="1"/>
    <n v="115"/>
    <n v="112"/>
    <n v="121"/>
    <n v="1"/>
    <x v="1"/>
    <x v="3"/>
    <n v="0"/>
    <n v="1"/>
    <x v="0"/>
  </r>
  <r>
    <d v="2017-02-07T00:00:00"/>
    <n v="117"/>
    <n v="118"/>
    <n v="117"/>
    <n v="117"/>
    <n v="8621000"/>
    <n v="117"/>
    <n v="0"/>
    <n v="115"/>
    <n v="112"/>
    <n v="121"/>
    <n v="1"/>
    <x v="1"/>
    <x v="3"/>
    <n v="1"/>
    <n v="1"/>
    <x v="0"/>
  </r>
  <r>
    <d v="2017-02-08T00:00:00"/>
    <n v="118"/>
    <n v="119"/>
    <n v="118"/>
    <n v="118"/>
    <n v="9633400"/>
    <n v="118"/>
    <n v="1"/>
    <n v="115"/>
    <n v="112"/>
    <n v="121"/>
    <n v="1"/>
    <x v="1"/>
    <x v="3"/>
    <n v="2"/>
    <n v="1"/>
    <x v="0"/>
  </r>
  <r>
    <d v="2017-02-09T00:00:00"/>
    <n v="117"/>
    <n v="119"/>
    <n v="117"/>
    <n v="118"/>
    <n v="8177200"/>
    <n v="117"/>
    <n v="-1"/>
    <n v="115"/>
    <n v="112"/>
    <n v="121"/>
    <n v="1"/>
    <x v="1"/>
    <x v="3"/>
    <n v="3"/>
    <n v="1"/>
    <x v="0"/>
  </r>
  <r>
    <d v="2017-02-10T00:00:00"/>
    <n v="118"/>
    <n v="118"/>
    <n v="117"/>
    <n v="117"/>
    <n v="9072100"/>
    <n v="118"/>
    <n v="0"/>
    <n v="116"/>
    <n v="113"/>
    <n v="121"/>
    <n v="1"/>
    <x v="1"/>
    <x v="3"/>
    <n v="4"/>
    <n v="1"/>
    <x v="0"/>
  </r>
  <r>
    <d v="2017-02-13T00:00:00"/>
    <n v="117"/>
    <n v="117"/>
    <n v="116"/>
    <n v="117"/>
    <n v="7354900"/>
    <n v="117"/>
    <n v="-1"/>
    <n v="116"/>
    <n v="113"/>
    <n v="121"/>
    <n v="1"/>
    <x v="1"/>
    <x v="3"/>
    <n v="0"/>
    <n v="1"/>
    <x v="0"/>
  </r>
  <r>
    <d v="2017-02-14T00:00:00"/>
    <n v="117"/>
    <n v="118"/>
    <n v="116"/>
    <n v="118"/>
    <n v="6927800"/>
    <n v="117"/>
    <n v="0"/>
    <n v="116"/>
    <n v="113"/>
    <n v="121"/>
    <n v="1"/>
    <x v="1"/>
    <x v="3"/>
    <n v="1"/>
    <n v="1"/>
    <x v="0"/>
  </r>
  <r>
    <d v="2017-02-15T00:00:00"/>
    <n v="117"/>
    <n v="117"/>
    <n v="116"/>
    <n v="116"/>
    <n v="7088400"/>
    <n v="117"/>
    <n v="0"/>
    <n v="116"/>
    <n v="113"/>
    <n v="121"/>
    <n v="1"/>
    <x v="1"/>
    <x v="3"/>
    <n v="2"/>
    <n v="1"/>
    <x v="0"/>
  </r>
  <r>
    <d v="2017-02-16T00:00:00"/>
    <n v="118"/>
    <n v="118"/>
    <n v="118"/>
    <n v="118"/>
    <n v="6378700"/>
    <n v="118"/>
    <n v="1"/>
    <n v="116"/>
    <n v="113"/>
    <n v="121"/>
    <n v="1"/>
    <x v="1"/>
    <x v="3"/>
    <n v="3"/>
    <n v="1"/>
    <x v="0"/>
  </r>
  <r>
    <d v="2017-02-17T00:00:00"/>
    <n v="118"/>
    <n v="118"/>
    <n v="118"/>
    <n v="118"/>
    <n v="7338100"/>
    <n v="118"/>
    <n v="0"/>
    <n v="116"/>
    <n v="113"/>
    <n v="121"/>
    <n v="1"/>
    <x v="1"/>
    <x v="3"/>
    <n v="4"/>
    <n v="1"/>
    <x v="0"/>
  </r>
  <r>
    <d v="2017-02-21T00:00:00"/>
    <n v="118"/>
    <n v="118"/>
    <n v="117"/>
    <n v="117"/>
    <n v="6166900"/>
    <n v="118"/>
    <n v="0"/>
    <n v="116"/>
    <n v="113"/>
    <n v="120"/>
    <n v="1"/>
    <x v="1"/>
    <x v="3"/>
    <n v="1"/>
    <n v="1"/>
    <x v="0"/>
  </r>
  <r>
    <d v="2017-02-22T00:00:00"/>
    <n v="118"/>
    <n v="118"/>
    <n v="117"/>
    <n v="118"/>
    <n v="6057200"/>
    <n v="118"/>
    <n v="0"/>
    <n v="116"/>
    <n v="113"/>
    <n v="120"/>
    <n v="1"/>
    <x v="1"/>
    <x v="3"/>
    <n v="2"/>
    <n v="1"/>
    <x v="0"/>
  </r>
  <r>
    <d v="2017-02-23T00:00:00"/>
    <n v="119"/>
    <n v="119"/>
    <n v="119"/>
    <n v="119"/>
    <n v="7523300"/>
    <n v="119"/>
    <n v="1"/>
    <n v="117"/>
    <n v="113"/>
    <n v="120"/>
    <n v="1"/>
    <x v="1"/>
    <x v="3"/>
    <n v="3"/>
    <n v="1"/>
    <x v="0"/>
  </r>
  <r>
    <d v="2017-02-24T00:00:00"/>
    <n v="120"/>
    <n v="120"/>
    <n v="119"/>
    <n v="120"/>
    <n v="9809000"/>
    <n v="120"/>
    <n v="1"/>
    <n v="117"/>
    <n v="114"/>
    <n v="120"/>
    <n v="1"/>
    <x v="1"/>
    <x v="3"/>
    <n v="4"/>
    <n v="1"/>
    <x v="0"/>
  </r>
  <r>
    <d v="2017-02-27T00:00:00"/>
    <n v="119"/>
    <n v="120"/>
    <n v="119"/>
    <n v="120"/>
    <n v="9263500"/>
    <n v="119"/>
    <n v="0"/>
    <n v="117"/>
    <n v="114"/>
    <n v="120"/>
    <n v="1"/>
    <x v="1"/>
    <x v="3"/>
    <n v="0"/>
    <n v="1"/>
    <x v="0"/>
  </r>
  <r>
    <d v="2017-02-28T00:00:00"/>
    <n v="119"/>
    <n v="120"/>
    <n v="119"/>
    <n v="120"/>
    <n v="8727800"/>
    <n v="119"/>
    <n v="0"/>
    <n v="118"/>
    <n v="114"/>
    <n v="120"/>
    <n v="1"/>
    <x v="1"/>
    <x v="3"/>
    <n v="1"/>
    <n v="1"/>
    <x v="0"/>
  </r>
  <r>
    <d v="2017-03-01T00:00:00"/>
    <n v="119"/>
    <n v="119"/>
    <n v="118"/>
    <n v="118"/>
    <n v="8679600"/>
    <n v="119"/>
    <n v="0"/>
    <n v="118"/>
    <n v="114"/>
    <n v="120"/>
    <n v="1"/>
    <x v="1"/>
    <x v="4"/>
    <n v="2"/>
    <n v="1"/>
    <x v="0"/>
  </r>
  <r>
    <d v="2017-03-02T00:00:00"/>
    <n v="118"/>
    <n v="118"/>
    <n v="117"/>
    <n v="118"/>
    <n v="10986300"/>
    <n v="118"/>
    <n v="-1"/>
    <n v="118"/>
    <n v="114"/>
    <n v="120"/>
    <n v="1"/>
    <x v="1"/>
    <x v="4"/>
    <n v="3"/>
    <n v="1"/>
    <x v="0"/>
  </r>
  <r>
    <d v="2017-03-03T00:00:00"/>
    <n v="118"/>
    <n v="118"/>
    <n v="116"/>
    <n v="117"/>
    <n v="10665800"/>
    <n v="118"/>
    <n v="0"/>
    <n v="118"/>
    <n v="115"/>
    <n v="120"/>
    <n v="1"/>
    <x v="1"/>
    <x v="4"/>
    <n v="4"/>
    <n v="1"/>
    <x v="0"/>
  </r>
  <r>
    <d v="2017-03-06T00:00:00"/>
    <n v="117"/>
    <n v="117"/>
    <n v="117"/>
    <n v="117"/>
    <n v="4883500"/>
    <n v="117"/>
    <n v="-1"/>
    <n v="118"/>
    <n v="115"/>
    <n v="120"/>
    <n v="1"/>
    <x v="1"/>
    <x v="4"/>
    <n v="0"/>
    <n v="1"/>
    <x v="0"/>
  </r>
  <r>
    <d v="2017-03-07T00:00:00"/>
    <n v="116"/>
    <n v="116"/>
    <n v="116"/>
    <n v="116"/>
    <n v="6846300"/>
    <n v="116"/>
    <n v="-1"/>
    <n v="118"/>
    <n v="115"/>
    <n v="120"/>
    <n v="1"/>
    <x v="1"/>
    <x v="4"/>
    <n v="1"/>
    <n v="1"/>
    <x v="0"/>
  </r>
  <r>
    <d v="2017-03-08T00:00:00"/>
    <n v="115"/>
    <n v="115"/>
    <n v="115"/>
    <n v="115"/>
    <n v="7620900"/>
    <n v="115"/>
    <n v="-1"/>
    <n v="118"/>
    <n v="115"/>
    <n v="120"/>
    <n v="1"/>
    <x v="1"/>
    <x v="4"/>
    <n v="2"/>
    <n v="1"/>
    <x v="0"/>
  </r>
  <r>
    <d v="2017-03-09T00:00:00"/>
    <n v="114"/>
    <n v="115"/>
    <n v="114"/>
    <n v="115"/>
    <n v="6410900"/>
    <n v="114"/>
    <n v="-1"/>
    <n v="118"/>
    <n v="115"/>
    <n v="120"/>
    <n v="1"/>
    <x v="1"/>
    <x v="4"/>
    <n v="3"/>
    <n v="1"/>
    <x v="0"/>
  </r>
  <r>
    <d v="2017-03-10T00:00:00"/>
    <n v="115"/>
    <n v="115"/>
    <n v="114"/>
    <n v="114"/>
    <n v="7929500"/>
    <n v="115"/>
    <n v="0"/>
    <n v="117"/>
    <n v="115"/>
    <n v="120"/>
    <n v="1"/>
    <x v="1"/>
    <x v="4"/>
    <n v="4"/>
    <n v="1"/>
    <x v="0"/>
  </r>
  <r>
    <d v="2017-03-13T00:00:00"/>
    <n v="115"/>
    <n v="115"/>
    <n v="115"/>
    <n v="115"/>
    <n v="5807400"/>
    <n v="115"/>
    <n v="0"/>
    <n v="117"/>
    <n v="116"/>
    <n v="120"/>
    <n v="1"/>
    <x v="1"/>
    <x v="4"/>
    <n v="0"/>
    <n v="1"/>
    <x v="0"/>
  </r>
  <r>
    <d v="2017-03-14T00:00:00"/>
    <n v="114"/>
    <n v="115"/>
    <n v="114"/>
    <n v="115"/>
    <n v="5301800"/>
    <n v="114"/>
    <n v="-1"/>
    <n v="117"/>
    <n v="116"/>
    <n v="120"/>
    <n v="1"/>
    <x v="1"/>
    <x v="4"/>
    <n v="1"/>
    <n v="1"/>
    <x v="0"/>
  </r>
  <r>
    <d v="2017-03-15T00:00:00"/>
    <n v="116"/>
    <n v="116"/>
    <n v="114"/>
    <n v="114"/>
    <n v="13524100"/>
    <n v="116"/>
    <n v="2"/>
    <n v="117"/>
    <n v="116"/>
    <n v="120"/>
    <n v="1"/>
    <x v="1"/>
    <x v="4"/>
    <n v="2"/>
    <n v="1"/>
    <x v="0"/>
  </r>
  <r>
    <d v="2017-03-16T00:00:00"/>
    <n v="117"/>
    <n v="117"/>
    <n v="117"/>
    <n v="117"/>
    <n v="9322000"/>
    <n v="117"/>
    <n v="0"/>
    <n v="117"/>
    <n v="116"/>
    <n v="120"/>
    <n v="1"/>
    <x v="1"/>
    <x v="4"/>
    <n v="3"/>
    <n v="1"/>
    <x v="0"/>
  </r>
  <r>
    <d v="2017-03-17T00:00:00"/>
    <n v="117"/>
    <n v="117"/>
    <n v="117"/>
    <n v="117"/>
    <n v="4683000"/>
    <n v="117"/>
    <n v="0"/>
    <n v="117"/>
    <n v="116"/>
    <n v="120"/>
    <n v="1"/>
    <x v="1"/>
    <x v="4"/>
    <n v="4"/>
    <n v="1"/>
    <x v="0"/>
  </r>
  <r>
    <d v="2017-03-20T00:00:00"/>
    <n v="118"/>
    <n v="118"/>
    <n v="117"/>
    <n v="117"/>
    <n v="4000200"/>
    <n v="118"/>
    <n v="0"/>
    <n v="117"/>
    <n v="116"/>
    <n v="120"/>
    <n v="1"/>
    <x v="1"/>
    <x v="4"/>
    <n v="0"/>
    <n v="1"/>
    <x v="0"/>
  </r>
  <r>
    <d v="2017-03-21T00:00:00"/>
    <n v="119"/>
    <n v="119"/>
    <n v="118"/>
    <n v="118"/>
    <n v="9567900"/>
    <n v="119"/>
    <n v="1"/>
    <n v="117"/>
    <n v="116"/>
    <n v="120"/>
    <n v="1"/>
    <x v="1"/>
    <x v="4"/>
    <n v="1"/>
    <n v="1"/>
    <x v="0"/>
  </r>
  <r>
    <d v="2017-03-22T00:00:00"/>
    <n v="119"/>
    <n v="119"/>
    <n v="119"/>
    <n v="119"/>
    <n v="7287400"/>
    <n v="119"/>
    <n v="0"/>
    <n v="117"/>
    <n v="116"/>
    <n v="120"/>
    <n v="1"/>
    <x v="1"/>
    <x v="4"/>
    <n v="2"/>
    <n v="1"/>
    <x v="0"/>
  </r>
  <r>
    <d v="2017-03-23T00:00:00"/>
    <n v="119"/>
    <n v="119"/>
    <n v="118"/>
    <n v="119"/>
    <n v="6201100"/>
    <n v="119"/>
    <n v="0"/>
    <n v="117"/>
    <n v="116"/>
    <n v="120"/>
    <n v="1"/>
    <x v="1"/>
    <x v="4"/>
    <n v="3"/>
    <n v="1"/>
    <x v="0"/>
  </r>
  <r>
    <d v="2017-03-24T00:00:00"/>
    <n v="119"/>
    <n v="119"/>
    <n v="118"/>
    <n v="119"/>
    <n v="6879600"/>
    <n v="119"/>
    <n v="0"/>
    <n v="117"/>
    <n v="117"/>
    <n v="120"/>
    <n v="1"/>
    <x v="1"/>
    <x v="4"/>
    <n v="4"/>
    <n v="1"/>
    <x v="0"/>
  </r>
  <r>
    <d v="2017-03-27T00:00:00"/>
    <n v="120"/>
    <n v="120"/>
    <n v="119"/>
    <n v="120"/>
    <n v="8519600"/>
    <n v="120"/>
    <n v="1"/>
    <n v="117"/>
    <n v="117"/>
    <n v="120"/>
    <n v="1"/>
    <x v="1"/>
    <x v="4"/>
    <n v="0"/>
    <n v="1"/>
    <x v="0"/>
  </r>
  <r>
    <d v="2017-03-28T00:00:00"/>
    <n v="119"/>
    <n v="120"/>
    <n v="119"/>
    <n v="120"/>
    <n v="7112800"/>
    <n v="119"/>
    <n v="0"/>
    <n v="117"/>
    <n v="117"/>
    <n v="120"/>
    <n v="1"/>
    <x v="1"/>
    <x v="4"/>
    <n v="1"/>
    <n v="1"/>
    <x v="0"/>
  </r>
  <r>
    <d v="2017-03-29T00:00:00"/>
    <n v="119"/>
    <n v="119"/>
    <n v="119"/>
    <n v="119"/>
    <n v="4911000"/>
    <n v="119"/>
    <n v="0"/>
    <n v="117"/>
    <n v="117"/>
    <n v="120"/>
    <n v="1"/>
    <x v="1"/>
    <x v="4"/>
    <n v="2"/>
    <n v="1"/>
    <x v="0"/>
  </r>
  <r>
    <d v="2017-03-30T00:00:00"/>
    <n v="118"/>
    <n v="119"/>
    <n v="118"/>
    <n v="119"/>
    <n v="6894600"/>
    <n v="118"/>
    <n v="-1"/>
    <n v="117"/>
    <n v="117"/>
    <n v="120"/>
    <n v="1"/>
    <x v="1"/>
    <x v="4"/>
    <n v="3"/>
    <n v="1"/>
    <x v="0"/>
  </r>
  <r>
    <d v="2017-03-31T00:00:00"/>
    <n v="119"/>
    <n v="119"/>
    <n v="118"/>
    <n v="119"/>
    <n v="8520800"/>
    <n v="119"/>
    <n v="0"/>
    <n v="117"/>
    <n v="117"/>
    <n v="120"/>
    <n v="1"/>
    <x v="1"/>
    <x v="4"/>
    <n v="4"/>
    <n v="1"/>
    <x v="0"/>
  </r>
  <r>
    <d v="2017-04-03T00:00:00"/>
    <n v="119"/>
    <n v="119"/>
    <n v="119"/>
    <n v="119"/>
    <n v="6105700"/>
    <n v="119"/>
    <n v="1"/>
    <n v="117"/>
    <n v="117"/>
    <n v="120"/>
    <n v="1"/>
    <x v="1"/>
    <x v="5"/>
    <n v="0"/>
    <n v="2"/>
    <x v="0"/>
  </r>
  <r>
    <d v="2017-04-04T00:00:00"/>
    <n v="120"/>
    <n v="120"/>
    <n v="119"/>
    <n v="120"/>
    <n v="4687300"/>
    <n v="120"/>
    <n v="0"/>
    <n v="117"/>
    <n v="117"/>
    <n v="120"/>
    <n v="1"/>
    <x v="1"/>
    <x v="5"/>
    <n v="1"/>
    <n v="2"/>
    <x v="0"/>
  </r>
  <r>
    <d v="2017-04-05T00:00:00"/>
    <n v="120"/>
    <n v="120"/>
    <n v="118"/>
    <n v="119"/>
    <n v="8106000"/>
    <n v="120"/>
    <n v="0"/>
    <n v="118"/>
    <n v="117"/>
    <n v="120"/>
    <n v="1"/>
    <x v="1"/>
    <x v="5"/>
    <n v="2"/>
    <n v="2"/>
    <x v="0"/>
  </r>
  <r>
    <d v="2017-04-06T00:00:00"/>
    <n v="119"/>
    <n v="119"/>
    <n v="119"/>
    <n v="119"/>
    <n v="4633500"/>
    <n v="119"/>
    <n v="0"/>
    <n v="118"/>
    <n v="117"/>
    <n v="120"/>
    <n v="1"/>
    <x v="1"/>
    <x v="5"/>
    <n v="3"/>
    <n v="2"/>
    <x v="0"/>
  </r>
  <r>
    <d v="2017-04-07T00:00:00"/>
    <n v="119"/>
    <n v="121"/>
    <n v="119"/>
    <n v="120"/>
    <n v="12351100"/>
    <n v="119"/>
    <n v="0"/>
    <n v="118"/>
    <n v="117"/>
    <n v="120"/>
    <n v="1"/>
    <x v="1"/>
    <x v="5"/>
    <n v="4"/>
    <n v="2"/>
    <x v="0"/>
  </r>
  <r>
    <d v="2017-04-10T00:00:00"/>
    <n v="119"/>
    <n v="120"/>
    <n v="119"/>
    <n v="119"/>
    <n v="4623700"/>
    <n v="119"/>
    <n v="0"/>
    <n v="118"/>
    <n v="118"/>
    <n v="120"/>
    <n v="1"/>
    <x v="1"/>
    <x v="5"/>
    <n v="0"/>
    <n v="2"/>
    <x v="0"/>
  </r>
  <r>
    <d v="2017-04-11T00:00:00"/>
    <n v="121"/>
    <n v="121"/>
    <n v="120"/>
    <n v="120"/>
    <n v="12455300"/>
    <n v="121"/>
    <n v="1"/>
    <n v="119"/>
    <n v="118"/>
    <n v="120"/>
    <n v="1"/>
    <x v="1"/>
    <x v="5"/>
    <n v="1"/>
    <n v="2"/>
    <x v="0"/>
  </r>
  <r>
    <d v="2017-04-12T00:00:00"/>
    <n v="122"/>
    <n v="122"/>
    <n v="121"/>
    <n v="121"/>
    <n v="9502500"/>
    <n v="122"/>
    <n v="1"/>
    <n v="119"/>
    <n v="118"/>
    <n v="120"/>
    <n v="0"/>
    <x v="1"/>
    <x v="5"/>
    <n v="2"/>
    <n v="2"/>
    <x v="0"/>
  </r>
  <r>
    <d v="2017-04-13T00:00:00"/>
    <n v="123"/>
    <n v="123"/>
    <n v="122"/>
    <n v="123"/>
    <n v="9892600"/>
    <n v="123"/>
    <n v="0"/>
    <n v="119"/>
    <n v="118"/>
    <n v="120"/>
    <n v="0"/>
    <x v="1"/>
    <x v="5"/>
    <n v="3"/>
    <n v="2"/>
    <x v="0"/>
  </r>
  <r>
    <d v="2017-04-17T00:00:00"/>
    <n v="122"/>
    <n v="123"/>
    <n v="122"/>
    <n v="123"/>
    <n v="8469600"/>
    <n v="122"/>
    <n v="0"/>
    <n v="120"/>
    <n v="118"/>
    <n v="120"/>
    <n v="0"/>
    <x v="1"/>
    <x v="5"/>
    <n v="0"/>
    <n v="2"/>
    <x v="0"/>
  </r>
  <r>
    <d v="2017-04-18T00:00:00"/>
    <n v="123"/>
    <n v="123"/>
    <n v="122"/>
    <n v="122"/>
    <n v="10903700"/>
    <n v="123"/>
    <n v="0"/>
    <n v="120"/>
    <n v="118"/>
    <n v="120"/>
    <n v="0"/>
    <x v="1"/>
    <x v="5"/>
    <n v="1"/>
    <n v="2"/>
    <x v="0"/>
  </r>
  <r>
    <d v="2017-04-19T00:00:00"/>
    <n v="122"/>
    <n v="122"/>
    <n v="121"/>
    <n v="122"/>
    <n v="8472700"/>
    <n v="122"/>
    <n v="-1"/>
    <n v="120"/>
    <n v="118"/>
    <n v="120"/>
    <n v="1"/>
    <x v="1"/>
    <x v="5"/>
    <n v="2"/>
    <n v="2"/>
    <x v="0"/>
  </r>
  <r>
    <d v="2017-04-20T00:00:00"/>
    <n v="122"/>
    <n v="122"/>
    <n v="122"/>
    <n v="122"/>
    <n v="11787300"/>
    <n v="122"/>
    <n v="0"/>
    <n v="120"/>
    <n v="118"/>
    <n v="120"/>
    <n v="1"/>
    <x v="1"/>
    <x v="5"/>
    <n v="3"/>
    <n v="2"/>
    <x v="0"/>
  </r>
  <r>
    <d v="2017-04-21T00:00:00"/>
    <n v="122"/>
    <n v="123"/>
    <n v="122"/>
    <n v="122"/>
    <n v="15608000"/>
    <n v="122"/>
    <n v="0"/>
    <n v="120"/>
    <n v="119"/>
    <n v="120"/>
    <n v="1"/>
    <x v="1"/>
    <x v="5"/>
    <n v="4"/>
    <n v="2"/>
    <x v="0"/>
  </r>
  <r>
    <d v="2017-04-24T00:00:00"/>
    <n v="121"/>
    <n v="122"/>
    <n v="121"/>
    <n v="121"/>
    <n v="11053600"/>
    <n v="121"/>
    <n v="-1"/>
    <n v="121"/>
    <n v="119"/>
    <n v="120"/>
    <n v="1"/>
    <x v="1"/>
    <x v="5"/>
    <n v="0"/>
    <n v="2"/>
    <x v="0"/>
  </r>
  <r>
    <d v="2017-04-25T00:00:00"/>
    <n v="120"/>
    <n v="121"/>
    <n v="120"/>
    <n v="121"/>
    <n v="10344800"/>
    <n v="120"/>
    <n v="-1"/>
    <n v="121"/>
    <n v="119"/>
    <n v="120"/>
    <n v="1"/>
    <x v="1"/>
    <x v="5"/>
    <n v="1"/>
    <n v="2"/>
    <x v="0"/>
  </r>
  <r>
    <d v="2017-04-26T00:00:00"/>
    <n v="121"/>
    <n v="121"/>
    <n v="120"/>
    <n v="120"/>
    <n v="9758800"/>
    <n v="121"/>
    <n v="0"/>
    <n v="121"/>
    <n v="119"/>
    <n v="120"/>
    <n v="1"/>
    <x v="1"/>
    <x v="5"/>
    <n v="2"/>
    <n v="2"/>
    <x v="0"/>
  </r>
  <r>
    <d v="2017-04-27T00:00:00"/>
    <n v="120"/>
    <n v="121"/>
    <n v="120"/>
    <n v="120"/>
    <n v="8267000"/>
    <n v="120"/>
    <n v="0"/>
    <n v="121"/>
    <n v="119"/>
    <n v="120"/>
    <n v="1"/>
    <x v="1"/>
    <x v="5"/>
    <n v="3"/>
    <n v="2"/>
    <x v="0"/>
  </r>
  <r>
    <d v="2017-04-28T00:00:00"/>
    <n v="121"/>
    <n v="121"/>
    <n v="120"/>
    <n v="120"/>
    <n v="9134200"/>
    <n v="121"/>
    <n v="0"/>
    <n v="121"/>
    <n v="119"/>
    <n v="120"/>
    <n v="1"/>
    <x v="1"/>
    <x v="5"/>
    <n v="4"/>
    <n v="2"/>
    <x v="0"/>
  </r>
  <r>
    <d v="2017-05-01T00:00:00"/>
    <n v="120"/>
    <n v="121"/>
    <n v="119"/>
    <n v="120"/>
    <n v="9331800"/>
    <n v="120"/>
    <n v="-1"/>
    <n v="121"/>
    <n v="119"/>
    <n v="120"/>
    <n v="1"/>
    <x v="1"/>
    <x v="6"/>
    <n v="0"/>
    <n v="2"/>
    <x v="0"/>
  </r>
  <r>
    <d v="2017-05-02T00:00:00"/>
    <n v="120"/>
    <n v="120"/>
    <n v="119"/>
    <n v="119"/>
    <n v="4900800"/>
    <n v="120"/>
    <n v="0"/>
    <n v="121"/>
    <n v="119"/>
    <n v="120"/>
    <n v="1"/>
    <x v="1"/>
    <x v="6"/>
    <n v="1"/>
    <n v="2"/>
    <x v="0"/>
  </r>
  <r>
    <d v="2017-05-03T00:00:00"/>
    <n v="118"/>
    <n v="119"/>
    <n v="118"/>
    <n v="119"/>
    <n v="10811100"/>
    <n v="118"/>
    <n v="-1"/>
    <n v="121"/>
    <n v="119"/>
    <n v="120"/>
    <n v="1"/>
    <x v="1"/>
    <x v="6"/>
    <n v="2"/>
    <n v="2"/>
    <x v="0"/>
  </r>
  <r>
    <d v="2017-05-04T00:00:00"/>
    <n v="117"/>
    <n v="117"/>
    <n v="117"/>
    <n v="117"/>
    <n v="12406900"/>
    <n v="117"/>
    <n v="-1"/>
    <n v="121"/>
    <n v="119"/>
    <n v="120"/>
    <n v="1"/>
    <x v="1"/>
    <x v="6"/>
    <n v="3"/>
    <n v="2"/>
    <x v="0"/>
  </r>
  <r>
    <d v="2017-05-05T00:00:00"/>
    <n v="117"/>
    <n v="117"/>
    <n v="117"/>
    <n v="117"/>
    <n v="7127200"/>
    <n v="117"/>
    <n v="0"/>
    <n v="121"/>
    <n v="119"/>
    <n v="119"/>
    <n v="1"/>
    <x v="1"/>
    <x v="6"/>
    <n v="4"/>
    <n v="2"/>
    <x v="0"/>
  </r>
  <r>
    <d v="2017-05-08T00:00:00"/>
    <n v="117"/>
    <n v="117"/>
    <n v="117"/>
    <n v="117"/>
    <n v="5438400"/>
    <n v="117"/>
    <n v="0"/>
    <n v="120"/>
    <n v="119"/>
    <n v="119"/>
    <n v="1"/>
    <x v="1"/>
    <x v="6"/>
    <n v="0"/>
    <n v="2"/>
    <x v="0"/>
  </r>
  <r>
    <d v="2017-05-09T00:00:00"/>
    <n v="116"/>
    <n v="116"/>
    <n v="116"/>
    <n v="116"/>
    <n v="6801300"/>
    <n v="116"/>
    <n v="-1"/>
    <n v="120"/>
    <n v="119"/>
    <n v="119"/>
    <n v="1"/>
    <x v="1"/>
    <x v="6"/>
    <n v="1"/>
    <n v="2"/>
    <x v="0"/>
  </r>
  <r>
    <d v="2017-05-10T00:00:00"/>
    <n v="116"/>
    <n v="117"/>
    <n v="116"/>
    <n v="116"/>
    <n v="4290500"/>
    <n v="116"/>
    <n v="0"/>
    <n v="120"/>
    <n v="119"/>
    <n v="119"/>
    <n v="1"/>
    <x v="1"/>
    <x v="6"/>
    <n v="2"/>
    <n v="2"/>
    <x v="0"/>
  </r>
  <r>
    <d v="2017-05-11T00:00:00"/>
    <n v="117"/>
    <n v="117"/>
    <n v="116"/>
    <n v="116"/>
    <n v="6274400"/>
    <n v="117"/>
    <n v="0"/>
    <n v="120"/>
    <n v="119"/>
    <n v="119"/>
    <n v="1"/>
    <x v="1"/>
    <x v="6"/>
    <n v="3"/>
    <n v="2"/>
    <x v="0"/>
  </r>
  <r>
    <d v="2017-05-12T00:00:00"/>
    <n v="117"/>
    <n v="117"/>
    <n v="117"/>
    <n v="117"/>
    <n v="5434500"/>
    <n v="117"/>
    <n v="0"/>
    <n v="119"/>
    <n v="119"/>
    <n v="119"/>
    <n v="1"/>
    <x v="1"/>
    <x v="6"/>
    <n v="4"/>
    <n v="2"/>
    <x v="0"/>
  </r>
  <r>
    <d v="2017-05-15T00:00:00"/>
    <n v="117"/>
    <n v="118"/>
    <n v="117"/>
    <n v="118"/>
    <n v="5019600"/>
    <n v="117"/>
    <n v="0"/>
    <n v="119"/>
    <n v="119"/>
    <n v="119"/>
    <n v="1"/>
    <x v="1"/>
    <x v="6"/>
    <n v="0"/>
    <n v="2"/>
    <x v="0"/>
  </r>
  <r>
    <d v="2017-05-16T00:00:00"/>
    <n v="118"/>
    <n v="118"/>
    <n v="117"/>
    <n v="117"/>
    <n v="4942800"/>
    <n v="118"/>
    <n v="0"/>
    <n v="119"/>
    <n v="119"/>
    <n v="119"/>
    <n v="1"/>
    <x v="1"/>
    <x v="6"/>
    <n v="1"/>
    <n v="2"/>
    <x v="0"/>
  </r>
  <r>
    <d v="2017-05-17T00:00:00"/>
    <n v="120"/>
    <n v="120"/>
    <n v="119"/>
    <n v="119"/>
    <n v="13936900"/>
    <n v="120"/>
    <n v="2"/>
    <n v="119"/>
    <n v="119"/>
    <n v="119"/>
    <n v="1"/>
    <x v="1"/>
    <x v="6"/>
    <n v="2"/>
    <n v="2"/>
    <x v="0"/>
  </r>
  <r>
    <d v="2017-05-18T00:00:00"/>
    <n v="119"/>
    <n v="120"/>
    <n v="119"/>
    <n v="120"/>
    <n v="10341100"/>
    <n v="119"/>
    <n v="-1"/>
    <n v="119"/>
    <n v="119"/>
    <n v="119"/>
    <n v="1"/>
    <x v="1"/>
    <x v="6"/>
    <n v="3"/>
    <n v="2"/>
    <x v="0"/>
  </r>
  <r>
    <d v="2017-05-19T00:00:00"/>
    <n v="119"/>
    <n v="120"/>
    <n v="119"/>
    <n v="119"/>
    <n v="6787300"/>
    <n v="119"/>
    <n v="0"/>
    <n v="118"/>
    <n v="119"/>
    <n v="119"/>
    <n v="1"/>
    <x v="1"/>
    <x v="6"/>
    <n v="4"/>
    <n v="2"/>
    <x v="0"/>
  </r>
  <r>
    <d v="2017-05-22T00:00:00"/>
    <n v="120"/>
    <n v="120"/>
    <n v="120"/>
    <n v="120"/>
    <n v="5132500"/>
    <n v="120"/>
    <n v="0"/>
    <n v="118"/>
    <n v="119"/>
    <n v="119"/>
    <n v="1"/>
    <x v="1"/>
    <x v="6"/>
    <n v="0"/>
    <n v="2"/>
    <x v="0"/>
  </r>
  <r>
    <d v="2017-05-23T00:00:00"/>
    <n v="119"/>
    <n v="120"/>
    <n v="119"/>
    <n v="120"/>
    <n v="8305400"/>
    <n v="119"/>
    <n v="-1"/>
    <n v="118"/>
    <n v="119"/>
    <n v="119"/>
    <n v="1"/>
    <x v="1"/>
    <x v="6"/>
    <n v="1"/>
    <n v="2"/>
    <x v="0"/>
  </r>
  <r>
    <d v="2017-05-24T00:00:00"/>
    <n v="120"/>
    <n v="120"/>
    <n v="119"/>
    <n v="119"/>
    <n v="7025000"/>
    <n v="120"/>
    <n v="0"/>
    <n v="118"/>
    <n v="119"/>
    <n v="119"/>
    <n v="1"/>
    <x v="1"/>
    <x v="6"/>
    <n v="2"/>
    <n v="2"/>
    <x v="0"/>
  </r>
  <r>
    <d v="2017-05-25T00:00:00"/>
    <n v="119"/>
    <n v="120"/>
    <n v="119"/>
    <n v="120"/>
    <n v="4105100"/>
    <n v="119"/>
    <n v="0"/>
    <n v="118"/>
    <n v="119"/>
    <n v="119"/>
    <n v="1"/>
    <x v="1"/>
    <x v="6"/>
    <n v="3"/>
    <n v="2"/>
    <x v="0"/>
  </r>
  <r>
    <d v="2017-05-26T00:00:00"/>
    <n v="121"/>
    <n v="121"/>
    <n v="120"/>
    <n v="120"/>
    <n v="6791600"/>
    <n v="121"/>
    <n v="1"/>
    <n v="118"/>
    <n v="119"/>
    <n v="119"/>
    <n v="1"/>
    <x v="1"/>
    <x v="6"/>
    <n v="4"/>
    <n v="2"/>
    <x v="0"/>
  </r>
  <r>
    <d v="2017-05-30T00:00:00"/>
    <n v="120"/>
    <n v="120"/>
    <n v="120"/>
    <n v="120"/>
    <n v="4507500"/>
    <n v="120"/>
    <n v="0"/>
    <n v="118"/>
    <n v="119"/>
    <n v="119"/>
    <n v="1"/>
    <x v="1"/>
    <x v="6"/>
    <n v="1"/>
    <n v="2"/>
    <x v="0"/>
  </r>
  <r>
    <d v="2017-05-31T00:00:00"/>
    <n v="121"/>
    <n v="121"/>
    <n v="120"/>
    <n v="120"/>
    <n v="10360700"/>
    <n v="121"/>
    <n v="0"/>
    <n v="118"/>
    <n v="119"/>
    <n v="119"/>
    <n v="1"/>
    <x v="1"/>
    <x v="6"/>
    <n v="2"/>
    <n v="2"/>
    <x v="0"/>
  </r>
  <r>
    <d v="2017-06-01T00:00:00"/>
    <n v="121"/>
    <n v="121"/>
    <n v="120"/>
    <n v="120"/>
    <n v="8702500"/>
    <n v="121"/>
    <n v="0"/>
    <n v="118"/>
    <n v="119"/>
    <n v="119"/>
    <n v="1"/>
    <x v="1"/>
    <x v="7"/>
    <n v="3"/>
    <n v="2"/>
    <x v="0"/>
  </r>
  <r>
    <d v="2017-06-02T00:00:00"/>
    <n v="122"/>
    <n v="122"/>
    <n v="121"/>
    <n v="121"/>
    <n v="7268100"/>
    <n v="122"/>
    <n v="1"/>
    <n v="119"/>
    <n v="120"/>
    <n v="119"/>
    <n v="1"/>
    <x v="1"/>
    <x v="7"/>
    <n v="4"/>
    <n v="2"/>
    <x v="2"/>
  </r>
  <r>
    <d v="2017-06-05T00:00:00"/>
    <n v="122"/>
    <n v="122"/>
    <n v="122"/>
    <n v="122"/>
    <n v="3979200"/>
    <n v="122"/>
    <n v="0"/>
    <n v="119"/>
    <n v="120"/>
    <n v="119"/>
    <n v="1"/>
    <x v="1"/>
    <x v="7"/>
    <n v="0"/>
    <n v="2"/>
    <x v="0"/>
  </r>
  <r>
    <d v="2017-06-06T00:00:00"/>
    <n v="123"/>
    <n v="123"/>
    <n v="123"/>
    <n v="123"/>
    <n v="10798500"/>
    <n v="123"/>
    <n v="1"/>
    <n v="119"/>
    <n v="120"/>
    <n v="119"/>
    <n v="1"/>
    <x v="1"/>
    <x v="7"/>
    <n v="1"/>
    <n v="2"/>
    <x v="0"/>
  </r>
  <r>
    <d v="2017-06-07T00:00:00"/>
    <n v="122"/>
    <n v="123"/>
    <n v="122"/>
    <n v="123"/>
    <n v="9039200"/>
    <n v="122"/>
    <n v="-1"/>
    <n v="120"/>
    <n v="120"/>
    <n v="119"/>
    <n v="1"/>
    <x v="1"/>
    <x v="7"/>
    <n v="2"/>
    <n v="2"/>
    <x v="0"/>
  </r>
  <r>
    <d v="2017-06-08T00:00:00"/>
    <n v="122"/>
    <n v="122"/>
    <n v="121"/>
    <n v="122"/>
    <n v="8169800"/>
    <n v="122"/>
    <n v="-1"/>
    <n v="120"/>
    <n v="120"/>
    <n v="118"/>
    <n v="1"/>
    <x v="1"/>
    <x v="7"/>
    <n v="3"/>
    <n v="2"/>
    <x v="0"/>
  </r>
  <r>
    <d v="2017-06-09T00:00:00"/>
    <n v="121"/>
    <n v="121"/>
    <n v="120"/>
    <n v="120"/>
    <n v="7054700"/>
    <n v="121"/>
    <n v="-1"/>
    <n v="120"/>
    <n v="120"/>
    <n v="118"/>
    <n v="1"/>
    <x v="1"/>
    <x v="7"/>
    <n v="4"/>
    <n v="2"/>
    <x v="0"/>
  </r>
  <r>
    <d v="2017-06-12T00:00:00"/>
    <n v="120"/>
    <n v="121"/>
    <n v="120"/>
    <n v="120"/>
    <n v="4927400"/>
    <n v="120"/>
    <n v="0"/>
    <n v="120"/>
    <n v="120"/>
    <n v="118"/>
    <n v="1"/>
    <x v="1"/>
    <x v="7"/>
    <n v="0"/>
    <n v="2"/>
    <x v="0"/>
  </r>
  <r>
    <d v="2017-06-13T00:00:00"/>
    <n v="120"/>
    <n v="121"/>
    <n v="120"/>
    <n v="120"/>
    <n v="3786600"/>
    <n v="120"/>
    <n v="0"/>
    <n v="120"/>
    <n v="120"/>
    <n v="118"/>
    <n v="1"/>
    <x v="1"/>
    <x v="7"/>
    <n v="1"/>
    <n v="2"/>
    <x v="0"/>
  </r>
  <r>
    <d v="2017-06-14T00:00:00"/>
    <n v="120"/>
    <n v="122"/>
    <n v="120"/>
    <n v="122"/>
    <n v="21124800"/>
    <n v="120"/>
    <n v="-1"/>
    <n v="120"/>
    <n v="120"/>
    <n v="118"/>
    <n v="1"/>
    <x v="1"/>
    <x v="7"/>
    <n v="2"/>
    <n v="2"/>
    <x v="0"/>
  </r>
  <r>
    <d v="2017-06-15T00:00:00"/>
    <n v="119"/>
    <n v="120"/>
    <n v="119"/>
    <n v="119"/>
    <n v="6796700"/>
    <n v="119"/>
    <n v="0"/>
    <n v="120"/>
    <n v="120"/>
    <n v="118"/>
    <n v="1"/>
    <x v="1"/>
    <x v="7"/>
    <n v="3"/>
    <n v="2"/>
    <x v="0"/>
  </r>
  <r>
    <d v="2017-06-16T00:00:00"/>
    <n v="119"/>
    <n v="120"/>
    <n v="119"/>
    <n v="119"/>
    <n v="6435700"/>
    <n v="119"/>
    <n v="0"/>
    <n v="120"/>
    <n v="120"/>
    <n v="118"/>
    <n v="1"/>
    <x v="1"/>
    <x v="7"/>
    <n v="4"/>
    <n v="2"/>
    <x v="0"/>
  </r>
  <r>
    <d v="2017-06-19T00:00:00"/>
    <n v="118"/>
    <n v="119"/>
    <n v="118"/>
    <n v="119"/>
    <n v="6787000"/>
    <n v="118"/>
    <n v="-1"/>
    <n v="120"/>
    <n v="120"/>
    <n v="118"/>
    <n v="1"/>
    <x v="1"/>
    <x v="7"/>
    <n v="0"/>
    <n v="2"/>
    <x v="0"/>
  </r>
  <r>
    <d v="2017-06-20T00:00:00"/>
    <n v="118"/>
    <n v="118"/>
    <n v="118"/>
    <n v="118"/>
    <n v="4617400"/>
    <n v="118"/>
    <n v="0"/>
    <n v="120"/>
    <n v="120"/>
    <n v="118"/>
    <n v="1"/>
    <x v="1"/>
    <x v="7"/>
    <n v="1"/>
    <n v="2"/>
    <x v="0"/>
  </r>
  <r>
    <d v="2017-06-21T00:00:00"/>
    <n v="119"/>
    <n v="119"/>
    <n v="118"/>
    <n v="118"/>
    <n v="4723700"/>
    <n v="119"/>
    <n v="0"/>
    <n v="120"/>
    <n v="120"/>
    <n v="118"/>
    <n v="1"/>
    <x v="1"/>
    <x v="7"/>
    <n v="2"/>
    <n v="2"/>
    <x v="0"/>
  </r>
  <r>
    <d v="2017-06-22T00:00:00"/>
    <n v="119"/>
    <n v="119"/>
    <n v="119"/>
    <n v="119"/>
    <n v="5811900"/>
    <n v="119"/>
    <n v="0"/>
    <n v="120"/>
    <n v="120"/>
    <n v="118"/>
    <n v="1"/>
    <x v="1"/>
    <x v="7"/>
    <n v="3"/>
    <n v="2"/>
    <x v="0"/>
  </r>
  <r>
    <d v="2017-06-23T00:00:00"/>
    <n v="119"/>
    <n v="120"/>
    <n v="119"/>
    <n v="120"/>
    <n v="9258600"/>
    <n v="119"/>
    <n v="0"/>
    <n v="120"/>
    <n v="120"/>
    <n v="118"/>
    <n v="1"/>
    <x v="1"/>
    <x v="7"/>
    <n v="4"/>
    <n v="2"/>
    <x v="0"/>
  </r>
  <r>
    <d v="2017-06-26T00:00:00"/>
    <n v="118"/>
    <n v="119"/>
    <n v="118"/>
    <n v="118"/>
    <n v="6593400"/>
    <n v="118"/>
    <n v="-1"/>
    <n v="120"/>
    <n v="120"/>
    <n v="118"/>
    <n v="1"/>
    <x v="1"/>
    <x v="7"/>
    <n v="0"/>
    <n v="2"/>
    <x v="0"/>
  </r>
  <r>
    <d v="2017-06-27T00:00:00"/>
    <n v="119"/>
    <n v="119"/>
    <n v="118"/>
    <n v="119"/>
    <n v="5759300"/>
    <n v="119"/>
    <n v="0"/>
    <n v="120"/>
    <n v="120"/>
    <n v="118"/>
    <n v="1"/>
    <x v="1"/>
    <x v="7"/>
    <n v="1"/>
    <n v="2"/>
    <x v="0"/>
  </r>
  <r>
    <d v="2017-06-28T00:00:00"/>
    <n v="119"/>
    <n v="119"/>
    <n v="119"/>
    <n v="119"/>
    <n v="4220100"/>
    <n v="119"/>
    <n v="0"/>
    <n v="120"/>
    <n v="120"/>
    <n v="118"/>
    <n v="1"/>
    <x v="1"/>
    <x v="7"/>
    <n v="2"/>
    <n v="2"/>
    <x v="0"/>
  </r>
  <r>
    <d v="2017-06-29T00:00:00"/>
    <n v="118"/>
    <n v="119"/>
    <n v="118"/>
    <n v="118"/>
    <n v="7705200"/>
    <n v="118"/>
    <n v="0"/>
    <n v="120"/>
    <n v="119"/>
    <n v="118"/>
    <n v="1"/>
    <x v="1"/>
    <x v="7"/>
    <n v="3"/>
    <n v="2"/>
    <x v="0"/>
  </r>
  <r>
    <d v="2017-06-30T00:00:00"/>
    <n v="118"/>
    <n v="118"/>
    <n v="118"/>
    <n v="118"/>
    <n v="7272600"/>
    <n v="118"/>
    <n v="0"/>
    <n v="120"/>
    <n v="119"/>
    <n v="118"/>
    <n v="1"/>
    <x v="1"/>
    <x v="7"/>
    <n v="4"/>
    <n v="2"/>
    <x v="0"/>
  </r>
  <r>
    <d v="2017-07-03T00:00:00"/>
    <n v="116"/>
    <n v="117"/>
    <n v="116"/>
    <n v="117"/>
    <n v="12145000"/>
    <n v="116"/>
    <n v="-2"/>
    <n v="119"/>
    <n v="119"/>
    <n v="118"/>
    <n v="1"/>
    <x v="1"/>
    <x v="8"/>
    <n v="0"/>
    <n v="3"/>
    <x v="0"/>
  </r>
  <r>
    <d v="2017-07-05T00:00:00"/>
    <n v="117"/>
    <n v="117"/>
    <n v="116"/>
    <n v="116"/>
    <n v="7223300"/>
    <n v="117"/>
    <n v="0"/>
    <n v="119"/>
    <n v="119"/>
    <n v="118"/>
    <n v="1"/>
    <x v="1"/>
    <x v="8"/>
    <n v="2"/>
    <n v="3"/>
    <x v="0"/>
  </r>
  <r>
    <d v="2017-07-06T00:00:00"/>
    <n v="116"/>
    <n v="117"/>
    <n v="116"/>
    <n v="117"/>
    <n v="4443400"/>
    <n v="116"/>
    <n v="0"/>
    <n v="119"/>
    <n v="119"/>
    <n v="118"/>
    <n v="1"/>
    <x v="1"/>
    <x v="8"/>
    <n v="3"/>
    <n v="3"/>
    <x v="0"/>
  </r>
  <r>
    <d v="2017-07-07T00:00:00"/>
    <n v="115"/>
    <n v="116"/>
    <n v="115"/>
    <n v="116"/>
    <n v="11153600"/>
    <n v="115"/>
    <n v="-1"/>
    <n v="119"/>
    <n v="119"/>
    <n v="118"/>
    <n v="1"/>
    <x v="1"/>
    <x v="8"/>
    <n v="4"/>
    <n v="3"/>
    <x v="0"/>
  </r>
  <r>
    <d v="2017-07-10T00:00:00"/>
    <n v="115"/>
    <n v="116"/>
    <n v="115"/>
    <n v="115"/>
    <n v="4970900"/>
    <n v="115"/>
    <n v="0"/>
    <n v="118"/>
    <n v="119"/>
    <n v="118"/>
    <n v="1"/>
    <x v="1"/>
    <x v="8"/>
    <n v="0"/>
    <n v="3"/>
    <x v="0"/>
  </r>
  <r>
    <d v="2017-07-11T00:00:00"/>
    <n v="116"/>
    <n v="116"/>
    <n v="115"/>
    <n v="115"/>
    <n v="6637900"/>
    <n v="116"/>
    <n v="0"/>
    <n v="118"/>
    <n v="119"/>
    <n v="118"/>
    <n v="1"/>
    <x v="1"/>
    <x v="8"/>
    <n v="1"/>
    <n v="3"/>
    <x v="0"/>
  </r>
  <r>
    <d v="2017-07-12T00:00:00"/>
    <n v="116"/>
    <n v="116"/>
    <n v="116"/>
    <n v="116"/>
    <n v="4654400"/>
    <n v="116"/>
    <n v="0"/>
    <n v="118"/>
    <n v="119"/>
    <n v="118"/>
    <n v="1"/>
    <x v="1"/>
    <x v="8"/>
    <n v="2"/>
    <n v="3"/>
    <x v="0"/>
  </r>
  <r>
    <d v="2017-07-13T00:00:00"/>
    <n v="116"/>
    <n v="116"/>
    <n v="116"/>
    <n v="116"/>
    <n v="4148900"/>
    <n v="116"/>
    <n v="0"/>
    <n v="118"/>
    <n v="119"/>
    <n v="117"/>
    <n v="1"/>
    <x v="1"/>
    <x v="8"/>
    <n v="3"/>
    <n v="3"/>
    <x v="0"/>
  </r>
  <r>
    <d v="2017-07-14T00:00:00"/>
    <n v="117"/>
    <n v="117"/>
    <n v="117"/>
    <n v="117"/>
    <n v="5788200"/>
    <n v="117"/>
    <n v="1"/>
    <n v="117"/>
    <n v="119"/>
    <n v="117"/>
    <n v="1"/>
    <x v="1"/>
    <x v="8"/>
    <n v="4"/>
    <n v="3"/>
    <x v="0"/>
  </r>
  <r>
    <d v="2017-07-17T00:00:00"/>
    <n v="117"/>
    <n v="118"/>
    <n v="117"/>
    <n v="117"/>
    <n v="5170800"/>
    <n v="117"/>
    <n v="0"/>
    <n v="117"/>
    <n v="119"/>
    <n v="117"/>
    <n v="1"/>
    <x v="1"/>
    <x v="8"/>
    <n v="0"/>
    <n v="3"/>
    <x v="0"/>
  </r>
  <r>
    <d v="2017-07-18T00:00:00"/>
    <n v="118"/>
    <n v="118"/>
    <n v="118"/>
    <n v="118"/>
    <n v="7158600"/>
    <n v="118"/>
    <n v="1"/>
    <n v="117"/>
    <n v="119"/>
    <n v="117"/>
    <n v="1"/>
    <x v="1"/>
    <x v="8"/>
    <n v="1"/>
    <n v="3"/>
    <x v="0"/>
  </r>
  <r>
    <d v="2017-07-19T00:00:00"/>
    <n v="118"/>
    <n v="118"/>
    <n v="118"/>
    <n v="118"/>
    <n v="3205100"/>
    <n v="118"/>
    <n v="0"/>
    <n v="117"/>
    <n v="119"/>
    <n v="117"/>
    <n v="1"/>
    <x v="1"/>
    <x v="8"/>
    <n v="2"/>
    <n v="3"/>
    <x v="0"/>
  </r>
  <r>
    <d v="2017-07-20T00:00:00"/>
    <n v="118"/>
    <n v="119"/>
    <n v="118"/>
    <n v="118"/>
    <n v="5571600"/>
    <n v="118"/>
    <n v="0"/>
    <n v="117"/>
    <n v="119"/>
    <n v="117"/>
    <n v="1"/>
    <x v="1"/>
    <x v="8"/>
    <n v="3"/>
    <n v="3"/>
    <x v="0"/>
  </r>
  <r>
    <d v="2017-07-21T00:00:00"/>
    <n v="119"/>
    <n v="119"/>
    <n v="119"/>
    <n v="119"/>
    <n v="10135900"/>
    <n v="119"/>
    <n v="1"/>
    <n v="117"/>
    <n v="119"/>
    <n v="117"/>
    <n v="1"/>
    <x v="1"/>
    <x v="8"/>
    <n v="4"/>
    <n v="3"/>
    <x v="0"/>
  </r>
  <r>
    <d v="2017-07-24T00:00:00"/>
    <n v="119"/>
    <n v="120"/>
    <n v="119"/>
    <n v="120"/>
    <n v="3654300"/>
    <n v="119"/>
    <n v="0"/>
    <n v="117"/>
    <n v="119"/>
    <n v="117"/>
    <n v="1"/>
    <x v="1"/>
    <x v="8"/>
    <n v="0"/>
    <n v="3"/>
    <x v="0"/>
  </r>
  <r>
    <d v="2017-07-25T00:00:00"/>
    <n v="119"/>
    <n v="119"/>
    <n v="119"/>
    <n v="119"/>
    <n v="6203000"/>
    <n v="119"/>
    <n v="0"/>
    <n v="117"/>
    <n v="119"/>
    <n v="117"/>
    <n v="1"/>
    <x v="1"/>
    <x v="8"/>
    <n v="1"/>
    <n v="3"/>
    <x v="0"/>
  </r>
  <r>
    <d v="2017-07-26T00:00:00"/>
    <n v="120"/>
    <n v="120"/>
    <n v="119"/>
    <n v="119"/>
    <n v="8527900"/>
    <n v="120"/>
    <n v="1"/>
    <n v="117"/>
    <n v="119"/>
    <n v="117"/>
    <n v="1"/>
    <x v="1"/>
    <x v="8"/>
    <n v="2"/>
    <n v="3"/>
    <x v="0"/>
  </r>
  <r>
    <d v="2017-07-27T00:00:00"/>
    <n v="120"/>
    <n v="120"/>
    <n v="119"/>
    <n v="120"/>
    <n v="6385200"/>
    <n v="120"/>
    <n v="0"/>
    <n v="117"/>
    <n v="119"/>
    <n v="117"/>
    <n v="1"/>
    <x v="1"/>
    <x v="8"/>
    <n v="3"/>
    <n v="3"/>
    <x v="0"/>
  </r>
  <r>
    <d v="2017-07-28T00:00:00"/>
    <n v="121"/>
    <n v="121"/>
    <n v="120"/>
    <n v="120"/>
    <n v="7393600"/>
    <n v="121"/>
    <n v="1"/>
    <n v="118"/>
    <n v="119"/>
    <n v="117"/>
    <n v="1"/>
    <x v="1"/>
    <x v="8"/>
    <n v="4"/>
    <n v="3"/>
    <x v="0"/>
  </r>
  <r>
    <d v="2017-07-31T00:00:00"/>
    <n v="121"/>
    <n v="121"/>
    <n v="120"/>
    <n v="121"/>
    <n v="3944600"/>
    <n v="121"/>
    <n v="0"/>
    <n v="118"/>
    <n v="119"/>
    <n v="117"/>
    <n v="1"/>
    <x v="1"/>
    <x v="8"/>
    <n v="0"/>
    <n v="3"/>
    <x v="0"/>
  </r>
  <r>
    <d v="2017-08-01T00:00:00"/>
    <n v="121"/>
    <n v="121"/>
    <n v="120"/>
    <n v="120"/>
    <n v="7365100"/>
    <n v="121"/>
    <n v="0"/>
    <n v="118"/>
    <n v="119"/>
    <n v="117"/>
    <n v="0"/>
    <x v="1"/>
    <x v="9"/>
    <n v="1"/>
    <n v="3"/>
    <x v="0"/>
  </r>
  <r>
    <d v="2017-08-02T00:00:00"/>
    <n v="120"/>
    <n v="121"/>
    <n v="120"/>
    <n v="121"/>
    <n v="5945300"/>
    <n v="120"/>
    <n v="0"/>
    <n v="118"/>
    <n v="119"/>
    <n v="117"/>
    <n v="0"/>
    <x v="1"/>
    <x v="9"/>
    <n v="2"/>
    <n v="3"/>
    <x v="0"/>
  </r>
  <r>
    <d v="2017-08-03T00:00:00"/>
    <n v="121"/>
    <n v="121"/>
    <n v="120"/>
    <n v="120"/>
    <n v="4275600"/>
    <n v="121"/>
    <n v="0"/>
    <n v="118"/>
    <n v="119"/>
    <n v="117"/>
    <n v="0"/>
    <x v="1"/>
    <x v="9"/>
    <n v="3"/>
    <n v="3"/>
    <x v="0"/>
  </r>
  <r>
    <d v="2017-08-04T00:00:00"/>
    <n v="120"/>
    <n v="120"/>
    <n v="119"/>
    <n v="120"/>
    <n v="8644800"/>
    <n v="120"/>
    <n v="-1"/>
    <n v="119"/>
    <n v="119"/>
    <n v="117"/>
    <n v="0"/>
    <x v="1"/>
    <x v="9"/>
    <n v="4"/>
    <n v="3"/>
    <x v="0"/>
  </r>
  <r>
    <d v="2017-08-07T00:00:00"/>
    <n v="120"/>
    <n v="120"/>
    <n v="119"/>
    <n v="119"/>
    <n v="3010100"/>
    <n v="120"/>
    <n v="0"/>
    <n v="119"/>
    <n v="119"/>
    <n v="117"/>
    <n v="0"/>
    <x v="1"/>
    <x v="9"/>
    <n v="0"/>
    <n v="3"/>
    <x v="0"/>
  </r>
  <r>
    <d v="2017-08-08T00:00:00"/>
    <n v="120"/>
    <n v="120"/>
    <n v="119"/>
    <n v="120"/>
    <n v="7227200"/>
    <n v="120"/>
    <n v="0"/>
    <n v="119"/>
    <n v="119"/>
    <n v="117"/>
    <n v="0"/>
    <x v="1"/>
    <x v="9"/>
    <n v="1"/>
    <n v="3"/>
    <x v="0"/>
  </r>
  <r>
    <d v="2017-08-09T00:00:00"/>
    <n v="121"/>
    <n v="122"/>
    <n v="121"/>
    <n v="121"/>
    <n v="9186200"/>
    <n v="121"/>
    <n v="1"/>
    <n v="119"/>
    <n v="119"/>
    <n v="117"/>
    <n v="0"/>
    <x v="1"/>
    <x v="9"/>
    <n v="2"/>
    <n v="3"/>
    <x v="0"/>
  </r>
  <r>
    <d v="2017-08-10T00:00:00"/>
    <n v="122"/>
    <n v="122"/>
    <n v="122"/>
    <n v="122"/>
    <n v="9817900"/>
    <n v="122"/>
    <n v="1"/>
    <n v="120"/>
    <n v="119"/>
    <n v="117"/>
    <n v="1"/>
    <x v="1"/>
    <x v="9"/>
    <n v="3"/>
    <n v="3"/>
    <x v="0"/>
  </r>
  <r>
    <d v="2017-08-11T00:00:00"/>
    <n v="123"/>
    <n v="123"/>
    <n v="122"/>
    <n v="122"/>
    <n v="8019500"/>
    <n v="123"/>
    <n v="0"/>
    <n v="120"/>
    <n v="119"/>
    <n v="117"/>
    <n v="0"/>
    <x v="1"/>
    <x v="9"/>
    <n v="4"/>
    <n v="3"/>
    <x v="0"/>
  </r>
  <r>
    <d v="2017-08-14T00:00:00"/>
    <n v="122"/>
    <n v="122"/>
    <n v="122"/>
    <n v="122"/>
    <n v="6035300"/>
    <n v="122"/>
    <n v="-1"/>
    <n v="120"/>
    <n v="119"/>
    <n v="117"/>
    <n v="1"/>
    <x v="1"/>
    <x v="9"/>
    <n v="0"/>
    <n v="3"/>
    <x v="0"/>
  </r>
  <r>
    <d v="2017-08-15T00:00:00"/>
    <n v="121"/>
    <n v="121"/>
    <n v="121"/>
    <n v="121"/>
    <n v="6731300"/>
    <n v="121"/>
    <n v="-1"/>
    <n v="120"/>
    <n v="119"/>
    <n v="117"/>
    <n v="1"/>
    <x v="1"/>
    <x v="9"/>
    <n v="1"/>
    <n v="3"/>
    <x v="0"/>
  </r>
  <r>
    <d v="2017-08-16T00:00:00"/>
    <n v="122"/>
    <n v="122"/>
    <n v="121"/>
    <n v="121"/>
    <n v="8267300"/>
    <n v="122"/>
    <n v="1"/>
    <n v="120"/>
    <n v="119"/>
    <n v="117"/>
    <n v="1"/>
    <x v="1"/>
    <x v="9"/>
    <n v="2"/>
    <n v="3"/>
    <x v="0"/>
  </r>
  <r>
    <d v="2017-08-17T00:00:00"/>
    <n v="122"/>
    <n v="123"/>
    <n v="122"/>
    <n v="122"/>
    <n v="8183800"/>
    <n v="122"/>
    <n v="1"/>
    <n v="121"/>
    <n v="119"/>
    <n v="117"/>
    <n v="1"/>
    <x v="1"/>
    <x v="9"/>
    <n v="3"/>
    <n v="3"/>
    <x v="0"/>
  </r>
  <r>
    <d v="2017-08-18T00:00:00"/>
    <n v="122"/>
    <n v="124"/>
    <n v="122"/>
    <n v="123"/>
    <n v="13654200"/>
    <n v="122"/>
    <n v="0"/>
    <n v="121"/>
    <n v="119"/>
    <n v="117"/>
    <n v="1"/>
    <x v="1"/>
    <x v="9"/>
    <n v="4"/>
    <n v="3"/>
    <x v="0"/>
  </r>
  <r>
    <d v="2017-08-21T00:00:00"/>
    <n v="123"/>
    <n v="123"/>
    <n v="123"/>
    <n v="123"/>
    <n v="5549700"/>
    <n v="123"/>
    <n v="0"/>
    <n v="121"/>
    <n v="119"/>
    <n v="117"/>
    <n v="1"/>
    <x v="1"/>
    <x v="9"/>
    <n v="0"/>
    <n v="3"/>
    <x v="0"/>
  </r>
  <r>
    <d v="2017-08-22T00:00:00"/>
    <n v="122"/>
    <n v="123"/>
    <n v="122"/>
    <n v="123"/>
    <n v="6493900"/>
    <n v="122"/>
    <n v="0"/>
    <n v="121"/>
    <n v="119"/>
    <n v="117"/>
    <n v="1"/>
    <x v="1"/>
    <x v="9"/>
    <n v="1"/>
    <n v="3"/>
    <x v="0"/>
  </r>
  <r>
    <d v="2017-08-23T00:00:00"/>
    <n v="123"/>
    <n v="123"/>
    <n v="122"/>
    <n v="123"/>
    <n v="5038400"/>
    <n v="123"/>
    <n v="0"/>
    <n v="121"/>
    <n v="119"/>
    <n v="117"/>
    <n v="1"/>
    <x v="1"/>
    <x v="9"/>
    <n v="2"/>
    <n v="3"/>
    <x v="0"/>
  </r>
  <r>
    <d v="2017-08-24T00:00:00"/>
    <n v="122"/>
    <n v="123"/>
    <n v="122"/>
    <n v="122"/>
    <n v="4193400"/>
    <n v="122"/>
    <n v="0"/>
    <n v="121"/>
    <n v="119"/>
    <n v="117"/>
    <n v="1"/>
    <x v="1"/>
    <x v="9"/>
    <n v="3"/>
    <n v="3"/>
    <x v="0"/>
  </r>
  <r>
    <d v="2017-08-25T00:00:00"/>
    <n v="123"/>
    <n v="123"/>
    <n v="121"/>
    <n v="123"/>
    <n v="12398200"/>
    <n v="123"/>
    <n v="0"/>
    <n v="121"/>
    <n v="119"/>
    <n v="117"/>
    <n v="1"/>
    <x v="1"/>
    <x v="9"/>
    <n v="4"/>
    <n v="3"/>
    <x v="0"/>
  </r>
  <r>
    <d v="2017-08-28T00:00:00"/>
    <n v="125"/>
    <n v="125"/>
    <n v="123"/>
    <n v="123"/>
    <n v="11578300"/>
    <n v="125"/>
    <n v="2"/>
    <n v="122"/>
    <n v="119"/>
    <n v="117"/>
    <n v="1"/>
    <x v="1"/>
    <x v="9"/>
    <n v="0"/>
    <n v="3"/>
    <x v="0"/>
  </r>
  <r>
    <d v="2017-08-29T00:00:00"/>
    <n v="124"/>
    <n v="126"/>
    <n v="124"/>
    <n v="126"/>
    <n v="9861500"/>
    <n v="124"/>
    <n v="0"/>
    <n v="122"/>
    <n v="120"/>
    <n v="117"/>
    <n v="1"/>
    <x v="1"/>
    <x v="9"/>
    <n v="1"/>
    <n v="3"/>
    <x v="0"/>
  </r>
  <r>
    <d v="2017-08-30T00:00:00"/>
    <n v="124"/>
    <n v="125"/>
    <n v="124"/>
    <n v="124"/>
    <n v="6328400"/>
    <n v="124"/>
    <n v="0"/>
    <n v="122"/>
    <n v="120"/>
    <n v="117"/>
    <n v="1"/>
    <x v="1"/>
    <x v="9"/>
    <n v="2"/>
    <n v="3"/>
    <x v="0"/>
  </r>
  <r>
    <d v="2017-08-31T00:00:00"/>
    <n v="126"/>
    <n v="126"/>
    <n v="125"/>
    <n v="125"/>
    <n v="11775500"/>
    <n v="126"/>
    <n v="1"/>
    <n v="122"/>
    <n v="120"/>
    <n v="117"/>
    <n v="1"/>
    <x v="1"/>
    <x v="9"/>
    <n v="3"/>
    <n v="3"/>
    <x v="0"/>
  </r>
  <r>
    <d v="2017-09-01T00:00:00"/>
    <n v="126"/>
    <n v="126"/>
    <n v="125"/>
    <n v="126"/>
    <n v="11567400"/>
    <n v="126"/>
    <n v="0"/>
    <n v="123"/>
    <n v="120"/>
    <n v="117"/>
    <n v="1"/>
    <x v="1"/>
    <x v="10"/>
    <n v="4"/>
    <n v="3"/>
    <x v="0"/>
  </r>
  <r>
    <d v="2017-09-05T00:00:00"/>
    <n v="127"/>
    <n v="128"/>
    <n v="127"/>
    <n v="127"/>
    <n v="11813100"/>
    <n v="127"/>
    <n v="1"/>
    <n v="123"/>
    <n v="120"/>
    <n v="117"/>
    <n v="1"/>
    <x v="1"/>
    <x v="10"/>
    <n v="1"/>
    <n v="3"/>
    <x v="0"/>
  </r>
  <r>
    <d v="2017-09-06T00:00:00"/>
    <n v="127"/>
    <n v="127"/>
    <n v="127"/>
    <n v="127"/>
    <n v="10059300"/>
    <n v="127"/>
    <n v="-1"/>
    <n v="123"/>
    <n v="120"/>
    <n v="118"/>
    <n v="1"/>
    <x v="1"/>
    <x v="10"/>
    <n v="2"/>
    <n v="3"/>
    <x v="0"/>
  </r>
  <r>
    <d v="2017-09-07T00:00:00"/>
    <n v="128"/>
    <n v="128"/>
    <n v="127"/>
    <n v="128"/>
    <n v="10219700"/>
    <n v="128"/>
    <n v="1"/>
    <n v="124"/>
    <n v="121"/>
    <n v="118"/>
    <n v="1"/>
    <x v="1"/>
    <x v="10"/>
    <n v="3"/>
    <n v="3"/>
    <x v="0"/>
  </r>
  <r>
    <d v="2017-09-08T00:00:00"/>
    <n v="128"/>
    <n v="128"/>
    <n v="128"/>
    <n v="128"/>
    <n v="9020000"/>
    <n v="128"/>
    <n v="0"/>
    <n v="124"/>
    <n v="121"/>
    <n v="118"/>
    <n v="1"/>
    <x v="1"/>
    <x v="10"/>
    <n v="4"/>
    <n v="3"/>
    <x v="0"/>
  </r>
  <r>
    <d v="2017-09-11T00:00:00"/>
    <n v="126"/>
    <n v="127"/>
    <n v="126"/>
    <n v="127"/>
    <n v="9126600"/>
    <n v="126"/>
    <n v="-1"/>
    <n v="124"/>
    <n v="121"/>
    <n v="118"/>
    <n v="1"/>
    <x v="1"/>
    <x v="10"/>
    <n v="0"/>
    <n v="3"/>
    <x v="0"/>
  </r>
  <r>
    <d v="2017-09-12T00:00:00"/>
    <n v="127"/>
    <n v="127"/>
    <n v="126"/>
    <n v="126"/>
    <n v="8349000"/>
    <n v="127"/>
    <n v="0"/>
    <n v="124"/>
    <n v="121"/>
    <n v="118"/>
    <n v="1"/>
    <x v="1"/>
    <x v="10"/>
    <n v="1"/>
    <n v="3"/>
    <x v="0"/>
  </r>
  <r>
    <d v="2017-09-13T00:00:00"/>
    <n v="126"/>
    <n v="126"/>
    <n v="126"/>
    <n v="126"/>
    <n v="8491000"/>
    <n v="126"/>
    <n v="-1"/>
    <n v="125"/>
    <n v="121"/>
    <n v="118"/>
    <n v="1"/>
    <x v="1"/>
    <x v="10"/>
    <n v="2"/>
    <n v="3"/>
    <x v="0"/>
  </r>
  <r>
    <d v="2017-09-14T00:00:00"/>
    <n v="126"/>
    <n v="126"/>
    <n v="126"/>
    <n v="126"/>
    <n v="5330700"/>
    <n v="126"/>
    <n v="0"/>
    <n v="125"/>
    <n v="121"/>
    <n v="118"/>
    <n v="1"/>
    <x v="1"/>
    <x v="10"/>
    <n v="3"/>
    <n v="3"/>
    <x v="0"/>
  </r>
  <r>
    <d v="2017-09-15T00:00:00"/>
    <n v="126"/>
    <n v="126"/>
    <n v="125"/>
    <n v="126"/>
    <n v="8375100"/>
    <n v="126"/>
    <n v="0"/>
    <n v="125"/>
    <n v="122"/>
    <n v="118"/>
    <n v="1"/>
    <x v="1"/>
    <x v="10"/>
    <n v="4"/>
    <n v="3"/>
    <x v="0"/>
  </r>
  <r>
    <d v="2017-09-18T00:00:00"/>
    <n v="124"/>
    <n v="125"/>
    <n v="124"/>
    <n v="125"/>
    <n v="8859800"/>
    <n v="124"/>
    <n v="-1"/>
    <n v="125"/>
    <n v="122"/>
    <n v="118"/>
    <n v="1"/>
    <x v="1"/>
    <x v="10"/>
    <n v="0"/>
    <n v="3"/>
    <x v="0"/>
  </r>
  <r>
    <d v="2017-09-19T00:00:00"/>
    <n v="125"/>
    <n v="125"/>
    <n v="124"/>
    <n v="124"/>
    <n v="5826500"/>
    <n v="125"/>
    <n v="0"/>
    <n v="125"/>
    <n v="122"/>
    <n v="118"/>
    <n v="1"/>
    <x v="1"/>
    <x v="10"/>
    <n v="1"/>
    <n v="3"/>
    <x v="0"/>
  </r>
  <r>
    <d v="2017-09-20T00:00:00"/>
    <n v="124"/>
    <n v="125"/>
    <n v="123"/>
    <n v="125"/>
    <n v="11415400"/>
    <n v="124"/>
    <n v="-1"/>
    <n v="125"/>
    <n v="122"/>
    <n v="118"/>
    <n v="1"/>
    <x v="1"/>
    <x v="10"/>
    <n v="2"/>
    <n v="3"/>
    <x v="0"/>
  </r>
  <r>
    <d v="2017-09-21T00:00:00"/>
    <n v="123"/>
    <n v="123"/>
    <n v="122"/>
    <n v="123"/>
    <n v="7757900"/>
    <n v="123"/>
    <n v="-1"/>
    <n v="125"/>
    <n v="122"/>
    <n v="118"/>
    <n v="1"/>
    <x v="1"/>
    <x v="10"/>
    <n v="3"/>
    <n v="3"/>
    <x v="0"/>
  </r>
  <r>
    <d v="2017-09-22T00:00:00"/>
    <n v="123"/>
    <n v="123"/>
    <n v="123"/>
    <n v="123"/>
    <n v="6011900"/>
    <n v="123"/>
    <n v="0"/>
    <n v="125"/>
    <n v="122"/>
    <n v="118"/>
    <n v="1"/>
    <x v="1"/>
    <x v="10"/>
    <n v="4"/>
    <n v="3"/>
    <x v="0"/>
  </r>
  <r>
    <d v="2017-09-25T00:00:00"/>
    <n v="125"/>
    <n v="125"/>
    <n v="123"/>
    <n v="123"/>
    <n v="10257200"/>
    <n v="125"/>
    <n v="1"/>
    <n v="125"/>
    <n v="123"/>
    <n v="118"/>
    <n v="1"/>
    <x v="1"/>
    <x v="10"/>
    <n v="0"/>
    <n v="3"/>
    <x v="0"/>
  </r>
  <r>
    <d v="2017-09-26T00:00:00"/>
    <n v="123"/>
    <n v="124"/>
    <n v="123"/>
    <n v="124"/>
    <n v="8673600"/>
    <n v="123"/>
    <n v="-1"/>
    <n v="125"/>
    <n v="123"/>
    <n v="118"/>
    <n v="1"/>
    <x v="1"/>
    <x v="10"/>
    <n v="1"/>
    <n v="3"/>
    <x v="0"/>
  </r>
  <r>
    <d v="2017-09-27T00:00:00"/>
    <n v="122"/>
    <n v="123"/>
    <n v="122"/>
    <n v="122"/>
    <n v="6903900"/>
    <n v="122"/>
    <n v="-1"/>
    <n v="125"/>
    <n v="123"/>
    <n v="118"/>
    <n v="1"/>
    <x v="1"/>
    <x v="10"/>
    <n v="2"/>
    <n v="3"/>
    <x v="0"/>
  </r>
  <r>
    <d v="2017-09-28T00:00:00"/>
    <n v="122"/>
    <n v="122"/>
    <n v="122"/>
    <n v="122"/>
    <n v="5968200"/>
    <n v="122"/>
    <n v="0"/>
    <n v="125"/>
    <n v="123"/>
    <n v="118"/>
    <n v="1"/>
    <x v="1"/>
    <x v="10"/>
    <n v="3"/>
    <n v="3"/>
    <x v="0"/>
  </r>
  <r>
    <d v="2017-09-29T00:00:00"/>
    <n v="122"/>
    <n v="122"/>
    <n v="122"/>
    <n v="122"/>
    <n v="10208000"/>
    <n v="122"/>
    <n v="-1"/>
    <n v="125"/>
    <n v="123"/>
    <n v="119"/>
    <n v="1"/>
    <x v="1"/>
    <x v="10"/>
    <n v="4"/>
    <n v="3"/>
    <x v="0"/>
  </r>
  <r>
    <d v="2017-10-02T00:00:00"/>
    <n v="121"/>
    <n v="121"/>
    <n v="121"/>
    <n v="121"/>
    <n v="11755400"/>
    <n v="121"/>
    <n v="-1"/>
    <n v="125"/>
    <n v="123"/>
    <n v="119"/>
    <n v="1"/>
    <x v="1"/>
    <x v="11"/>
    <n v="0"/>
    <n v="4"/>
    <x v="0"/>
  </r>
  <r>
    <d v="2017-10-03T00:00:00"/>
    <n v="121"/>
    <n v="121"/>
    <n v="121"/>
    <n v="121"/>
    <n v="3728700"/>
    <n v="121"/>
    <n v="0"/>
    <n v="124"/>
    <n v="123"/>
    <n v="119"/>
    <n v="1"/>
    <x v="1"/>
    <x v="11"/>
    <n v="1"/>
    <n v="4"/>
    <x v="0"/>
  </r>
  <r>
    <d v="2017-10-04T00:00:00"/>
    <n v="121"/>
    <n v="121"/>
    <n v="121"/>
    <n v="121"/>
    <n v="6475200"/>
    <n v="121"/>
    <n v="0"/>
    <n v="124"/>
    <n v="123"/>
    <n v="119"/>
    <n v="1"/>
    <x v="1"/>
    <x v="11"/>
    <n v="2"/>
    <n v="4"/>
    <x v="0"/>
  </r>
  <r>
    <d v="2017-10-05T00:00:00"/>
    <n v="121"/>
    <n v="121"/>
    <n v="120"/>
    <n v="121"/>
    <n v="6205400"/>
    <n v="121"/>
    <n v="-1"/>
    <n v="124"/>
    <n v="123"/>
    <n v="119"/>
    <n v="1"/>
    <x v="1"/>
    <x v="11"/>
    <n v="3"/>
    <n v="4"/>
    <x v="0"/>
  </r>
  <r>
    <d v="2017-10-06T00:00:00"/>
    <n v="121"/>
    <n v="121"/>
    <n v="120"/>
    <n v="120"/>
    <n v="10013300"/>
    <n v="121"/>
    <n v="0"/>
    <n v="123"/>
    <n v="123"/>
    <n v="119"/>
    <n v="1"/>
    <x v="1"/>
    <x v="11"/>
    <n v="4"/>
    <n v="4"/>
    <x v="0"/>
  </r>
  <r>
    <d v="2017-10-09T00:00:00"/>
    <n v="122"/>
    <n v="122"/>
    <n v="122"/>
    <n v="122"/>
    <n v="5264100"/>
    <n v="122"/>
    <n v="1"/>
    <n v="123"/>
    <n v="123"/>
    <n v="119"/>
    <n v="1"/>
    <x v="1"/>
    <x v="11"/>
    <n v="0"/>
    <n v="4"/>
    <x v="0"/>
  </r>
  <r>
    <d v="2017-10-10T00:00:00"/>
    <n v="122"/>
    <n v="123"/>
    <n v="122"/>
    <n v="123"/>
    <n v="9315500"/>
    <n v="122"/>
    <n v="0"/>
    <n v="123"/>
    <n v="123"/>
    <n v="119"/>
    <n v="1"/>
    <x v="1"/>
    <x v="11"/>
    <n v="1"/>
    <n v="4"/>
    <x v="0"/>
  </r>
  <r>
    <d v="2017-10-11T00:00:00"/>
    <n v="123"/>
    <n v="123"/>
    <n v="122"/>
    <n v="123"/>
    <n v="5649400"/>
    <n v="123"/>
    <n v="0"/>
    <n v="123"/>
    <n v="123"/>
    <n v="119"/>
    <n v="1"/>
    <x v="1"/>
    <x v="11"/>
    <n v="2"/>
    <n v="4"/>
    <x v="0"/>
  </r>
  <r>
    <d v="2017-10-12T00:00:00"/>
    <n v="123"/>
    <n v="123"/>
    <n v="123"/>
    <n v="123"/>
    <n v="3037600"/>
    <n v="123"/>
    <n v="0"/>
    <n v="123"/>
    <n v="123"/>
    <n v="119"/>
    <n v="1"/>
    <x v="1"/>
    <x v="11"/>
    <n v="3"/>
    <n v="4"/>
    <x v="0"/>
  </r>
  <r>
    <d v="2017-10-13T00:00:00"/>
    <n v="124"/>
    <n v="124"/>
    <n v="123"/>
    <n v="124"/>
    <n v="6820300"/>
    <n v="124"/>
    <n v="1"/>
    <n v="123"/>
    <n v="123"/>
    <n v="119"/>
    <n v="1"/>
    <x v="1"/>
    <x v="11"/>
    <n v="4"/>
    <n v="4"/>
    <x v="0"/>
  </r>
  <r>
    <d v="2017-10-16T00:00:00"/>
    <n v="123"/>
    <n v="124"/>
    <n v="123"/>
    <n v="124"/>
    <n v="8202000"/>
    <n v="123"/>
    <n v="-1"/>
    <n v="122"/>
    <n v="123"/>
    <n v="119"/>
    <n v="1"/>
    <x v="1"/>
    <x v="11"/>
    <n v="0"/>
    <n v="4"/>
    <x v="0"/>
  </r>
  <r>
    <d v="2017-10-17T00:00:00"/>
    <n v="122"/>
    <n v="122"/>
    <n v="122"/>
    <n v="122"/>
    <n v="7041300"/>
    <n v="122"/>
    <n v="-1"/>
    <n v="122"/>
    <n v="123"/>
    <n v="119"/>
    <n v="1"/>
    <x v="1"/>
    <x v="11"/>
    <n v="1"/>
    <n v="4"/>
    <x v="0"/>
  </r>
  <r>
    <d v="2017-10-18T00:00:00"/>
    <n v="122"/>
    <n v="122"/>
    <n v="122"/>
    <n v="122"/>
    <n v="3666400"/>
    <n v="122"/>
    <n v="0"/>
    <n v="122"/>
    <n v="123"/>
    <n v="119"/>
    <n v="1"/>
    <x v="1"/>
    <x v="11"/>
    <n v="2"/>
    <n v="4"/>
    <x v="0"/>
  </r>
  <r>
    <d v="2017-10-19T00:00:00"/>
    <n v="122"/>
    <n v="123"/>
    <n v="122"/>
    <n v="122"/>
    <n v="5567300"/>
    <n v="122"/>
    <n v="1"/>
    <n v="122"/>
    <n v="123"/>
    <n v="119"/>
    <n v="1"/>
    <x v="1"/>
    <x v="11"/>
    <n v="3"/>
    <n v="4"/>
    <x v="0"/>
  </r>
  <r>
    <d v="2017-10-20T00:00:00"/>
    <n v="122"/>
    <n v="122"/>
    <n v="121"/>
    <n v="122"/>
    <n v="8481100"/>
    <n v="122"/>
    <n v="-1"/>
    <n v="122"/>
    <n v="123"/>
    <n v="120"/>
    <n v="1"/>
    <x v="1"/>
    <x v="11"/>
    <n v="4"/>
    <n v="4"/>
    <x v="0"/>
  </r>
  <r>
    <d v="2017-10-23T00:00:00"/>
    <n v="122"/>
    <n v="122"/>
    <n v="121"/>
    <n v="121"/>
    <n v="5069700"/>
    <n v="122"/>
    <n v="0"/>
    <n v="122"/>
    <n v="123"/>
    <n v="120"/>
    <n v="1"/>
    <x v="1"/>
    <x v="11"/>
    <n v="0"/>
    <n v="4"/>
    <x v="0"/>
  </r>
  <r>
    <d v="2017-10-24T00:00:00"/>
    <n v="121"/>
    <n v="122"/>
    <n v="121"/>
    <n v="121"/>
    <n v="5114100"/>
    <n v="121"/>
    <n v="0"/>
    <n v="122"/>
    <n v="123"/>
    <n v="120"/>
    <n v="1"/>
    <x v="1"/>
    <x v="11"/>
    <n v="1"/>
    <n v="4"/>
    <x v="0"/>
  </r>
  <r>
    <d v="2017-10-25T00:00:00"/>
    <n v="121"/>
    <n v="122"/>
    <n v="121"/>
    <n v="121"/>
    <n v="4282400"/>
    <n v="121"/>
    <n v="0"/>
    <n v="122"/>
    <n v="123"/>
    <n v="120"/>
    <n v="1"/>
    <x v="1"/>
    <x v="11"/>
    <n v="2"/>
    <n v="4"/>
    <x v="0"/>
  </r>
  <r>
    <d v="2017-10-26T00:00:00"/>
    <n v="120"/>
    <n v="121"/>
    <n v="120"/>
    <n v="121"/>
    <n v="6438800"/>
    <n v="120"/>
    <n v="-1"/>
    <n v="122"/>
    <n v="123"/>
    <n v="120"/>
    <n v="1"/>
    <x v="1"/>
    <x v="11"/>
    <n v="3"/>
    <n v="4"/>
    <x v="0"/>
  </r>
  <r>
    <d v="2017-10-27T00:00:00"/>
    <n v="121"/>
    <n v="121"/>
    <n v="120"/>
    <n v="120"/>
    <n v="6664200"/>
    <n v="121"/>
    <n v="0"/>
    <n v="122"/>
    <n v="123"/>
    <n v="120"/>
    <n v="1"/>
    <x v="1"/>
    <x v="11"/>
    <n v="4"/>
    <n v="4"/>
    <x v="0"/>
  </r>
  <r>
    <d v="2017-10-30T00:00:00"/>
    <n v="121"/>
    <n v="121"/>
    <n v="120"/>
    <n v="120"/>
    <n v="5119200"/>
    <n v="121"/>
    <n v="0"/>
    <n v="122"/>
    <n v="123"/>
    <n v="120"/>
    <n v="1"/>
    <x v="1"/>
    <x v="11"/>
    <n v="0"/>
    <n v="4"/>
    <x v="0"/>
  </r>
  <r>
    <d v="2017-10-31T00:00:00"/>
    <n v="121"/>
    <n v="121"/>
    <n v="120"/>
    <n v="121"/>
    <n v="3910500"/>
    <n v="121"/>
    <n v="0"/>
    <n v="122"/>
    <n v="123"/>
    <n v="120"/>
    <n v="1"/>
    <x v="1"/>
    <x v="11"/>
    <n v="1"/>
    <n v="4"/>
    <x v="0"/>
  </r>
  <r>
    <d v="2017-11-01T00:00:00"/>
    <n v="121"/>
    <n v="122"/>
    <n v="121"/>
    <n v="121"/>
    <n v="4647800"/>
    <n v="121"/>
    <n v="0"/>
    <n v="122"/>
    <n v="123"/>
    <n v="120"/>
    <n v="1"/>
    <x v="1"/>
    <x v="0"/>
    <n v="2"/>
    <n v="4"/>
    <x v="0"/>
  </r>
  <r>
    <d v="2017-11-02T00:00:00"/>
    <n v="121"/>
    <n v="122"/>
    <n v="121"/>
    <n v="121"/>
    <n v="5369500"/>
    <n v="121"/>
    <n v="0"/>
    <n v="122"/>
    <n v="123"/>
    <n v="120"/>
    <n v="1"/>
    <x v="1"/>
    <x v="0"/>
    <n v="3"/>
    <n v="4"/>
    <x v="0"/>
  </r>
  <r>
    <d v="2017-11-03T00:00:00"/>
    <n v="121"/>
    <n v="121"/>
    <n v="120"/>
    <n v="121"/>
    <n v="6330600"/>
    <n v="121"/>
    <n v="0"/>
    <n v="122"/>
    <n v="123"/>
    <n v="120"/>
    <n v="1"/>
    <x v="1"/>
    <x v="0"/>
    <n v="4"/>
    <n v="4"/>
    <x v="0"/>
  </r>
  <r>
    <d v="2017-11-06T00:00:00"/>
    <n v="122"/>
    <n v="122"/>
    <n v="121"/>
    <n v="121"/>
    <n v="6953800"/>
    <n v="122"/>
    <n v="1"/>
    <n v="122"/>
    <n v="123"/>
    <n v="120"/>
    <n v="1"/>
    <x v="1"/>
    <x v="0"/>
    <n v="0"/>
    <n v="4"/>
    <x v="0"/>
  </r>
  <r>
    <d v="2017-11-07T00:00:00"/>
    <n v="121"/>
    <n v="122"/>
    <n v="121"/>
    <n v="122"/>
    <n v="4165900"/>
    <n v="121"/>
    <n v="0"/>
    <n v="122"/>
    <n v="123"/>
    <n v="120"/>
    <n v="1"/>
    <x v="1"/>
    <x v="0"/>
    <n v="1"/>
    <n v="4"/>
    <x v="0"/>
  </r>
  <r>
    <d v="2017-11-08T00:00:00"/>
    <n v="122"/>
    <n v="122"/>
    <n v="122"/>
    <n v="122"/>
    <n v="5565200"/>
    <n v="122"/>
    <n v="0"/>
    <n v="122"/>
    <n v="123"/>
    <n v="120"/>
    <n v="1"/>
    <x v="1"/>
    <x v="0"/>
    <n v="2"/>
    <n v="4"/>
    <x v="0"/>
  </r>
  <r>
    <d v="2017-11-09T00:00:00"/>
    <n v="122"/>
    <n v="122"/>
    <n v="122"/>
    <n v="122"/>
    <n v="6072400"/>
    <n v="122"/>
    <n v="0"/>
    <n v="122"/>
    <n v="123"/>
    <n v="120"/>
    <n v="1"/>
    <x v="1"/>
    <x v="0"/>
    <n v="3"/>
    <n v="4"/>
    <x v="0"/>
  </r>
  <r>
    <d v="2017-11-10T00:00:00"/>
    <n v="121"/>
    <n v="122"/>
    <n v="121"/>
    <n v="122"/>
    <n v="7116200"/>
    <n v="121"/>
    <n v="-1"/>
    <n v="121"/>
    <n v="123"/>
    <n v="120"/>
    <n v="1"/>
    <x v="1"/>
    <x v="0"/>
    <n v="4"/>
    <n v="4"/>
    <x v="0"/>
  </r>
  <r>
    <d v="2017-11-13T00:00:00"/>
    <n v="121"/>
    <n v="122"/>
    <n v="121"/>
    <n v="121"/>
    <n v="6249300"/>
    <n v="121"/>
    <n v="0"/>
    <n v="121"/>
    <n v="123"/>
    <n v="120"/>
    <n v="1"/>
    <x v="1"/>
    <x v="0"/>
    <n v="0"/>
    <n v="4"/>
    <x v="0"/>
  </r>
  <r>
    <d v="2017-11-14T00:00:00"/>
    <n v="122"/>
    <n v="122"/>
    <n v="121"/>
    <n v="121"/>
    <n v="6189000"/>
    <n v="122"/>
    <n v="0"/>
    <n v="121"/>
    <n v="123"/>
    <n v="120"/>
    <n v="0"/>
    <x v="1"/>
    <x v="0"/>
    <n v="1"/>
    <n v="4"/>
    <x v="0"/>
  </r>
  <r>
    <d v="2017-11-15T00:00:00"/>
    <n v="121"/>
    <n v="122"/>
    <n v="121"/>
    <n v="122"/>
    <n v="4984800"/>
    <n v="121"/>
    <n v="0"/>
    <n v="121"/>
    <n v="123"/>
    <n v="120"/>
    <n v="0"/>
    <x v="1"/>
    <x v="0"/>
    <n v="2"/>
    <n v="4"/>
    <x v="0"/>
  </r>
  <r>
    <d v="2017-11-16T00:00:00"/>
    <n v="121"/>
    <n v="122"/>
    <n v="121"/>
    <n v="121"/>
    <n v="2796500"/>
    <n v="121"/>
    <n v="0"/>
    <n v="121"/>
    <n v="122"/>
    <n v="120"/>
    <n v="0"/>
    <x v="1"/>
    <x v="0"/>
    <n v="3"/>
    <n v="4"/>
    <x v="0"/>
  </r>
  <r>
    <d v="2017-11-17T00:00:00"/>
    <n v="123"/>
    <n v="123"/>
    <n v="122"/>
    <n v="122"/>
    <n v="10614000"/>
    <n v="123"/>
    <n v="1"/>
    <n v="121"/>
    <n v="122"/>
    <n v="120"/>
    <n v="1"/>
    <x v="1"/>
    <x v="0"/>
    <n v="4"/>
    <n v="4"/>
    <x v="0"/>
  </r>
  <r>
    <d v="2017-11-20T00:00:00"/>
    <n v="121"/>
    <n v="122"/>
    <n v="121"/>
    <n v="122"/>
    <n v="8356700"/>
    <n v="121"/>
    <n v="-1"/>
    <n v="121"/>
    <n v="122"/>
    <n v="120"/>
    <n v="1"/>
    <x v="1"/>
    <x v="0"/>
    <n v="0"/>
    <n v="4"/>
    <x v="0"/>
  </r>
  <r>
    <d v="2017-11-21T00:00:00"/>
    <n v="122"/>
    <n v="122"/>
    <n v="122"/>
    <n v="122"/>
    <n v="4956500"/>
    <n v="122"/>
    <n v="0"/>
    <n v="121"/>
    <n v="122"/>
    <n v="120"/>
    <n v="1"/>
    <x v="1"/>
    <x v="0"/>
    <n v="1"/>
    <n v="4"/>
    <x v="0"/>
  </r>
  <r>
    <d v="2017-11-22T00:00:00"/>
    <n v="123"/>
    <n v="123"/>
    <n v="122"/>
    <n v="122"/>
    <n v="5211800"/>
    <n v="123"/>
    <n v="1"/>
    <n v="121"/>
    <n v="122"/>
    <n v="120"/>
    <n v="1"/>
    <x v="1"/>
    <x v="0"/>
    <n v="2"/>
    <n v="4"/>
    <x v="0"/>
  </r>
  <r>
    <d v="2017-11-24T00:00:00"/>
    <n v="122"/>
    <n v="123"/>
    <n v="122"/>
    <n v="122"/>
    <n v="1779700"/>
    <n v="122"/>
    <n v="0"/>
    <n v="121"/>
    <n v="122"/>
    <n v="120"/>
    <n v="1"/>
    <x v="1"/>
    <x v="0"/>
    <n v="4"/>
    <n v="4"/>
    <x v="0"/>
  </r>
  <r>
    <d v="2017-11-27T00:00:00"/>
    <n v="123"/>
    <n v="123"/>
    <n v="123"/>
    <n v="123"/>
    <n v="4961200"/>
    <n v="123"/>
    <n v="0"/>
    <n v="122"/>
    <n v="122"/>
    <n v="120"/>
    <n v="1"/>
    <x v="1"/>
    <x v="0"/>
    <n v="0"/>
    <n v="4"/>
    <x v="0"/>
  </r>
  <r>
    <d v="2017-11-28T00:00:00"/>
    <n v="123"/>
    <n v="123"/>
    <n v="123"/>
    <n v="123"/>
    <n v="5603100"/>
    <n v="123"/>
    <n v="0"/>
    <n v="122"/>
    <n v="122"/>
    <n v="120"/>
    <n v="1"/>
    <x v="1"/>
    <x v="0"/>
    <n v="1"/>
    <n v="4"/>
    <x v="0"/>
  </r>
  <r>
    <d v="2017-11-29T00:00:00"/>
    <n v="122"/>
    <n v="122"/>
    <n v="122"/>
    <n v="122"/>
    <n v="6138900"/>
    <n v="122"/>
    <n v="-1"/>
    <n v="122"/>
    <n v="122"/>
    <n v="120"/>
    <n v="1"/>
    <x v="1"/>
    <x v="0"/>
    <n v="2"/>
    <n v="4"/>
    <x v="0"/>
  </r>
  <r>
    <d v="2017-11-30T00:00:00"/>
    <n v="121"/>
    <n v="122"/>
    <n v="121"/>
    <n v="121"/>
    <n v="7936300"/>
    <n v="121"/>
    <n v="-1"/>
    <n v="122"/>
    <n v="122"/>
    <n v="120"/>
    <n v="1"/>
    <x v="1"/>
    <x v="0"/>
    <n v="3"/>
    <n v="4"/>
    <x v="0"/>
  </r>
  <r>
    <d v="2017-12-01T00:00:00"/>
    <n v="122"/>
    <n v="122"/>
    <n v="121"/>
    <n v="121"/>
    <n v="13080100"/>
    <n v="122"/>
    <n v="0"/>
    <n v="122"/>
    <n v="122"/>
    <n v="120"/>
    <n v="1"/>
    <x v="1"/>
    <x v="1"/>
    <n v="4"/>
    <n v="4"/>
    <x v="0"/>
  </r>
  <r>
    <d v="2017-12-04T00:00:00"/>
    <n v="121"/>
    <n v="121"/>
    <n v="121"/>
    <n v="121"/>
    <n v="6943700"/>
    <n v="121"/>
    <n v="0"/>
    <n v="122"/>
    <n v="122"/>
    <n v="120"/>
    <n v="1"/>
    <x v="1"/>
    <x v="1"/>
    <n v="0"/>
    <n v="4"/>
    <x v="0"/>
  </r>
  <r>
    <d v="2017-12-05T00:00:00"/>
    <n v="120"/>
    <n v="121"/>
    <n v="120"/>
    <n v="120"/>
    <n v="10041200"/>
    <n v="120"/>
    <n v="-1"/>
    <n v="122"/>
    <n v="122"/>
    <n v="120"/>
    <n v="1"/>
    <x v="1"/>
    <x v="1"/>
    <n v="1"/>
    <n v="4"/>
    <x v="0"/>
  </r>
  <r>
    <d v="2017-12-06T00:00:00"/>
    <n v="120"/>
    <n v="120"/>
    <n v="120"/>
    <n v="120"/>
    <n v="6643000"/>
    <n v="120"/>
    <n v="0"/>
    <n v="122"/>
    <n v="122"/>
    <n v="120"/>
    <n v="1"/>
    <x v="1"/>
    <x v="1"/>
    <n v="2"/>
    <n v="4"/>
    <x v="0"/>
  </r>
  <r>
    <d v="2017-12-07T00:00:00"/>
    <n v="118"/>
    <n v="119"/>
    <n v="118"/>
    <n v="119"/>
    <n v="12900200"/>
    <n v="118"/>
    <n v="-1"/>
    <n v="121"/>
    <n v="122"/>
    <n v="120"/>
    <n v="1"/>
    <x v="1"/>
    <x v="1"/>
    <n v="3"/>
    <n v="4"/>
    <x v="0"/>
  </r>
  <r>
    <d v="2017-12-08T00:00:00"/>
    <n v="118"/>
    <n v="119"/>
    <n v="118"/>
    <n v="118"/>
    <n v="5231300"/>
    <n v="118"/>
    <n v="0"/>
    <n v="121"/>
    <n v="121"/>
    <n v="120"/>
    <n v="1"/>
    <x v="1"/>
    <x v="1"/>
    <n v="4"/>
    <n v="4"/>
    <x v="0"/>
  </r>
  <r>
    <d v="2017-12-11T00:00:00"/>
    <n v="118"/>
    <n v="119"/>
    <n v="118"/>
    <n v="118"/>
    <n v="4522200"/>
    <n v="118"/>
    <n v="0"/>
    <n v="121"/>
    <n v="121"/>
    <n v="120"/>
    <n v="1"/>
    <x v="1"/>
    <x v="1"/>
    <n v="0"/>
    <n v="4"/>
    <x v="0"/>
  </r>
  <r>
    <d v="2017-12-12T00:00:00"/>
    <n v="118"/>
    <n v="118"/>
    <n v="117"/>
    <n v="118"/>
    <n v="8020100"/>
    <n v="118"/>
    <n v="0"/>
    <n v="121"/>
    <n v="121"/>
    <n v="120"/>
    <n v="1"/>
    <x v="1"/>
    <x v="1"/>
    <n v="1"/>
    <n v="4"/>
    <x v="0"/>
  </r>
  <r>
    <d v="2017-12-13T00:00:00"/>
    <n v="119"/>
    <n v="119"/>
    <n v="118"/>
    <n v="118"/>
    <n v="10086700"/>
    <n v="119"/>
    <n v="1"/>
    <n v="121"/>
    <n v="121"/>
    <n v="120"/>
    <n v="1"/>
    <x v="1"/>
    <x v="1"/>
    <n v="2"/>
    <n v="4"/>
    <x v="0"/>
  </r>
  <r>
    <d v="2017-12-14T00:00:00"/>
    <n v="119"/>
    <n v="119"/>
    <n v="119"/>
    <n v="119"/>
    <n v="6993600"/>
    <n v="119"/>
    <n v="0"/>
    <n v="121"/>
    <n v="121"/>
    <n v="120"/>
    <n v="1"/>
    <x v="1"/>
    <x v="1"/>
    <n v="3"/>
    <n v="4"/>
    <x v="0"/>
  </r>
  <r>
    <d v="2017-12-15T00:00:00"/>
    <n v="119"/>
    <n v="120"/>
    <n v="119"/>
    <n v="119"/>
    <n v="7532000"/>
    <n v="119"/>
    <n v="0"/>
    <n v="121"/>
    <n v="121"/>
    <n v="120"/>
    <n v="1"/>
    <x v="1"/>
    <x v="1"/>
    <n v="4"/>
    <n v="4"/>
    <x v="0"/>
  </r>
  <r>
    <d v="2017-12-18T00:00:00"/>
    <n v="120"/>
    <n v="120"/>
    <n v="120"/>
    <n v="120"/>
    <n v="5452200"/>
    <n v="120"/>
    <n v="0"/>
    <n v="120"/>
    <n v="121"/>
    <n v="120"/>
    <n v="1"/>
    <x v="1"/>
    <x v="1"/>
    <n v="0"/>
    <n v="4"/>
    <x v="0"/>
  </r>
  <r>
    <d v="2017-12-19T00:00:00"/>
    <n v="120"/>
    <n v="120"/>
    <n v="120"/>
    <n v="120"/>
    <n v="4018900"/>
    <n v="120"/>
    <n v="0"/>
    <n v="120"/>
    <n v="121"/>
    <n v="120"/>
    <n v="1"/>
    <x v="1"/>
    <x v="1"/>
    <n v="1"/>
    <n v="4"/>
    <x v="0"/>
  </r>
  <r>
    <d v="2017-12-20T00:00:00"/>
    <n v="120"/>
    <n v="120"/>
    <n v="120"/>
    <n v="120"/>
    <n v="5734600"/>
    <n v="120"/>
    <n v="0"/>
    <n v="120"/>
    <n v="121"/>
    <n v="121"/>
    <n v="1"/>
    <x v="1"/>
    <x v="1"/>
    <n v="2"/>
    <n v="4"/>
    <x v="1"/>
  </r>
  <r>
    <d v="2017-12-21T00:00:00"/>
    <n v="120"/>
    <n v="120"/>
    <n v="120"/>
    <n v="120"/>
    <n v="4823700"/>
    <n v="120"/>
    <n v="0"/>
    <n v="120"/>
    <n v="121"/>
    <n v="121"/>
    <n v="1"/>
    <x v="1"/>
    <x v="1"/>
    <n v="3"/>
    <n v="4"/>
    <x v="0"/>
  </r>
  <r>
    <d v="2017-12-22T00:00:00"/>
    <n v="121"/>
    <n v="121"/>
    <n v="121"/>
    <n v="121"/>
    <n v="5791300"/>
    <n v="121"/>
    <n v="1"/>
    <n v="120"/>
    <n v="121"/>
    <n v="121"/>
    <n v="1"/>
    <x v="1"/>
    <x v="1"/>
    <n v="4"/>
    <n v="4"/>
    <x v="0"/>
  </r>
  <r>
    <d v="2017-12-26T00:00:00"/>
    <n v="122"/>
    <n v="122"/>
    <n v="122"/>
    <n v="122"/>
    <n v="8224400"/>
    <n v="122"/>
    <n v="1"/>
    <n v="120"/>
    <n v="121"/>
    <n v="121"/>
    <n v="1"/>
    <x v="1"/>
    <x v="1"/>
    <n v="1"/>
    <n v="4"/>
    <x v="0"/>
  </r>
  <r>
    <d v="2017-12-27T00:00:00"/>
    <n v="122"/>
    <n v="122"/>
    <n v="122"/>
    <n v="122"/>
    <n v="6232700"/>
    <n v="122"/>
    <n v="0"/>
    <n v="120"/>
    <n v="121"/>
    <n v="121"/>
    <n v="1"/>
    <x v="1"/>
    <x v="1"/>
    <n v="2"/>
    <n v="4"/>
    <x v="0"/>
  </r>
  <r>
    <d v="2017-12-28T00:00:00"/>
    <n v="123"/>
    <n v="123"/>
    <n v="123"/>
    <n v="123"/>
    <n v="5732700"/>
    <n v="123"/>
    <n v="1"/>
    <n v="120"/>
    <n v="121"/>
    <n v="121"/>
    <n v="1"/>
    <x v="1"/>
    <x v="1"/>
    <n v="3"/>
    <n v="4"/>
    <x v="0"/>
  </r>
  <r>
    <d v="2017-12-29T00:00:00"/>
    <n v="124"/>
    <n v="124"/>
    <n v="123"/>
    <n v="124"/>
    <n v="7852100"/>
    <n v="124"/>
    <n v="1"/>
    <n v="120"/>
    <n v="121"/>
    <n v="121"/>
    <n v="1"/>
    <x v="1"/>
    <x v="1"/>
    <n v="4"/>
    <n v="4"/>
    <x v="0"/>
  </r>
  <r>
    <d v="2018-01-02T00:00:00"/>
    <n v="125"/>
    <n v="125"/>
    <n v="124"/>
    <n v="125"/>
    <n v="11762500"/>
    <n v="125"/>
    <n v="1"/>
    <n v="120"/>
    <n v="121"/>
    <n v="121"/>
    <n v="1"/>
    <x v="2"/>
    <x v="2"/>
    <n v="1"/>
    <n v="1"/>
    <x v="0"/>
  </r>
  <r>
    <d v="2018-01-03T00:00:00"/>
    <n v="125"/>
    <n v="125"/>
    <n v="124"/>
    <n v="125"/>
    <n v="7904300"/>
    <n v="125"/>
    <n v="0"/>
    <n v="121"/>
    <n v="121"/>
    <n v="121"/>
    <n v="1"/>
    <x v="2"/>
    <x v="2"/>
    <n v="2"/>
    <n v="1"/>
    <x v="0"/>
  </r>
  <r>
    <d v="2018-01-04T00:00:00"/>
    <n v="125"/>
    <n v="126"/>
    <n v="125"/>
    <n v="125"/>
    <n v="7329700"/>
    <n v="125"/>
    <n v="1"/>
    <n v="121"/>
    <n v="121"/>
    <n v="121"/>
    <n v="1"/>
    <x v="2"/>
    <x v="2"/>
    <n v="3"/>
    <n v="1"/>
    <x v="0"/>
  </r>
  <r>
    <d v="2018-01-05T00:00:00"/>
    <n v="125"/>
    <n v="125"/>
    <n v="125"/>
    <n v="125"/>
    <n v="5739900"/>
    <n v="125"/>
    <n v="0"/>
    <n v="121"/>
    <n v="121"/>
    <n v="121"/>
    <n v="1"/>
    <x v="2"/>
    <x v="2"/>
    <n v="4"/>
    <n v="1"/>
    <x v="0"/>
  </r>
  <r>
    <d v="2018-01-08T00:00:00"/>
    <n v="125"/>
    <n v="125"/>
    <n v="125"/>
    <n v="125"/>
    <n v="3566700"/>
    <n v="125"/>
    <n v="0"/>
    <n v="121"/>
    <n v="121"/>
    <n v="121"/>
    <n v="0"/>
    <x v="2"/>
    <x v="2"/>
    <n v="0"/>
    <n v="1"/>
    <x v="0"/>
  </r>
  <r>
    <d v="2018-01-09T00:00:00"/>
    <n v="125"/>
    <n v="125"/>
    <n v="124"/>
    <n v="124"/>
    <n v="9153600"/>
    <n v="125"/>
    <n v="0"/>
    <n v="122"/>
    <n v="121"/>
    <n v="121"/>
    <n v="0"/>
    <x v="2"/>
    <x v="2"/>
    <n v="1"/>
    <n v="1"/>
    <x v="0"/>
  </r>
  <r>
    <d v="2018-01-10T00:00:00"/>
    <n v="125"/>
    <n v="125"/>
    <n v="125"/>
    <n v="125"/>
    <n v="14809300"/>
    <n v="125"/>
    <n v="0"/>
    <n v="122"/>
    <n v="122"/>
    <n v="121"/>
    <n v="0"/>
    <x v="2"/>
    <x v="2"/>
    <n v="2"/>
    <n v="1"/>
    <x v="2"/>
  </r>
  <r>
    <d v="2018-01-11T00:00:00"/>
    <n v="125"/>
    <n v="126"/>
    <n v="125"/>
    <n v="125"/>
    <n v="5994700"/>
    <n v="125"/>
    <n v="0"/>
    <n v="122"/>
    <n v="122"/>
    <n v="121"/>
    <n v="0"/>
    <x v="2"/>
    <x v="2"/>
    <n v="3"/>
    <n v="1"/>
    <x v="0"/>
  </r>
  <r>
    <d v="2018-01-12T00:00:00"/>
    <n v="127"/>
    <n v="127"/>
    <n v="126"/>
    <n v="126"/>
    <n v="9258600"/>
    <n v="127"/>
    <n v="1"/>
    <n v="123"/>
    <n v="122"/>
    <n v="121"/>
    <n v="0"/>
    <x v="2"/>
    <x v="2"/>
    <n v="4"/>
    <n v="1"/>
    <x v="0"/>
  </r>
  <r>
    <d v="2018-01-16T00:00:00"/>
    <n v="127"/>
    <n v="127"/>
    <n v="126"/>
    <n v="127"/>
    <n v="8083900"/>
    <n v="127"/>
    <n v="0"/>
    <n v="123"/>
    <n v="122"/>
    <n v="121"/>
    <n v="0"/>
    <x v="2"/>
    <x v="2"/>
    <n v="1"/>
    <n v="1"/>
    <x v="0"/>
  </r>
  <r>
    <d v="2018-01-17T00:00:00"/>
    <n v="126"/>
    <n v="127"/>
    <n v="126"/>
    <n v="127"/>
    <n v="10130500"/>
    <n v="126"/>
    <n v="-1"/>
    <n v="124"/>
    <n v="122"/>
    <n v="121"/>
    <n v="0"/>
    <x v="2"/>
    <x v="2"/>
    <n v="2"/>
    <n v="1"/>
    <x v="0"/>
  </r>
  <r>
    <d v="2018-01-18T00:00:00"/>
    <n v="126"/>
    <n v="127"/>
    <n v="126"/>
    <n v="126"/>
    <n v="6289300"/>
    <n v="126"/>
    <n v="0"/>
    <n v="124"/>
    <n v="122"/>
    <n v="121"/>
    <n v="1"/>
    <x v="2"/>
    <x v="2"/>
    <n v="3"/>
    <n v="1"/>
    <x v="0"/>
  </r>
  <r>
    <d v="2018-01-19T00:00:00"/>
    <n v="126"/>
    <n v="127"/>
    <n v="126"/>
    <n v="127"/>
    <n v="8773800"/>
    <n v="126"/>
    <n v="0"/>
    <n v="124"/>
    <n v="122"/>
    <n v="121"/>
    <n v="1"/>
    <x v="2"/>
    <x v="2"/>
    <n v="4"/>
    <n v="1"/>
    <x v="0"/>
  </r>
  <r>
    <d v="2018-01-22T00:00:00"/>
    <n v="127"/>
    <n v="127"/>
    <n v="126"/>
    <n v="127"/>
    <n v="4893500"/>
    <n v="127"/>
    <n v="0"/>
    <n v="125"/>
    <n v="122"/>
    <n v="121"/>
    <n v="1"/>
    <x v="2"/>
    <x v="2"/>
    <n v="0"/>
    <n v="1"/>
    <x v="0"/>
  </r>
  <r>
    <d v="2018-01-23T00:00:00"/>
    <n v="127"/>
    <n v="127"/>
    <n v="126"/>
    <n v="127"/>
    <n v="6190400"/>
    <n v="127"/>
    <n v="0"/>
    <n v="125"/>
    <n v="122"/>
    <n v="121"/>
    <n v="1"/>
    <x v="2"/>
    <x v="2"/>
    <n v="1"/>
    <n v="1"/>
    <x v="0"/>
  </r>
  <r>
    <d v="2018-01-24T00:00:00"/>
    <n v="129"/>
    <n v="129"/>
    <n v="128"/>
    <n v="128"/>
    <n v="11827600"/>
    <n v="129"/>
    <n v="1"/>
    <n v="125"/>
    <n v="123"/>
    <n v="121"/>
    <n v="1"/>
    <x v="2"/>
    <x v="2"/>
    <n v="2"/>
    <n v="1"/>
    <x v="0"/>
  </r>
  <r>
    <d v="2018-01-25T00:00:00"/>
    <n v="128"/>
    <n v="130"/>
    <n v="127"/>
    <n v="129"/>
    <n v="15219700"/>
    <n v="128"/>
    <n v="-1"/>
    <n v="126"/>
    <n v="123"/>
    <n v="121"/>
    <n v="1"/>
    <x v="2"/>
    <x v="2"/>
    <n v="3"/>
    <n v="1"/>
    <x v="0"/>
  </r>
  <r>
    <d v="2018-01-26T00:00:00"/>
    <n v="128"/>
    <n v="129"/>
    <n v="128"/>
    <n v="128"/>
    <n v="7828700"/>
    <n v="128"/>
    <n v="0"/>
    <n v="126"/>
    <n v="123"/>
    <n v="121"/>
    <n v="1"/>
    <x v="2"/>
    <x v="2"/>
    <n v="4"/>
    <n v="1"/>
    <x v="0"/>
  </r>
  <r>
    <d v="2018-01-29T00:00:00"/>
    <n v="127"/>
    <n v="128"/>
    <n v="127"/>
    <n v="128"/>
    <n v="6956400"/>
    <n v="127"/>
    <n v="-1"/>
    <n v="126"/>
    <n v="123"/>
    <n v="121"/>
    <n v="1"/>
    <x v="2"/>
    <x v="2"/>
    <n v="0"/>
    <n v="1"/>
    <x v="0"/>
  </r>
  <r>
    <d v="2018-01-30T00:00:00"/>
    <n v="127"/>
    <n v="128"/>
    <n v="127"/>
    <n v="128"/>
    <n v="9736100"/>
    <n v="127"/>
    <n v="0"/>
    <n v="126"/>
    <n v="123"/>
    <n v="121"/>
    <n v="1"/>
    <x v="2"/>
    <x v="2"/>
    <n v="1"/>
    <n v="1"/>
    <x v="0"/>
  </r>
  <r>
    <d v="2018-01-31T00:00:00"/>
    <n v="128"/>
    <n v="128"/>
    <n v="126"/>
    <n v="127"/>
    <n v="13418900"/>
    <n v="128"/>
    <n v="1"/>
    <n v="126"/>
    <n v="123"/>
    <n v="121"/>
    <n v="1"/>
    <x v="2"/>
    <x v="2"/>
    <n v="2"/>
    <n v="1"/>
    <x v="0"/>
  </r>
  <r>
    <d v="2018-02-01T00:00:00"/>
    <n v="128"/>
    <n v="128"/>
    <n v="127"/>
    <n v="127"/>
    <n v="10854600"/>
    <n v="128"/>
    <n v="0"/>
    <n v="127"/>
    <n v="123"/>
    <n v="121"/>
    <n v="1"/>
    <x v="2"/>
    <x v="3"/>
    <n v="3"/>
    <n v="1"/>
    <x v="0"/>
  </r>
  <r>
    <d v="2018-02-02T00:00:00"/>
    <n v="126"/>
    <n v="127"/>
    <n v="126"/>
    <n v="127"/>
    <n v="16789200"/>
    <n v="126"/>
    <n v="-1"/>
    <n v="127"/>
    <n v="123"/>
    <n v="121"/>
    <n v="1"/>
    <x v="2"/>
    <x v="3"/>
    <n v="4"/>
    <n v="1"/>
    <x v="0"/>
  </r>
  <r>
    <d v="2018-02-05T00:00:00"/>
    <n v="127"/>
    <n v="127"/>
    <n v="126"/>
    <n v="127"/>
    <n v="13596300"/>
    <n v="127"/>
    <n v="0"/>
    <n v="127"/>
    <n v="123"/>
    <n v="122"/>
    <n v="1"/>
    <x v="2"/>
    <x v="3"/>
    <n v="0"/>
    <n v="1"/>
    <x v="0"/>
  </r>
  <r>
    <d v="2018-02-06T00:00:00"/>
    <n v="125"/>
    <n v="127"/>
    <n v="125"/>
    <n v="127"/>
    <n v="17672500"/>
    <n v="125"/>
    <n v="-1"/>
    <n v="127"/>
    <n v="124"/>
    <n v="122"/>
    <n v="1"/>
    <x v="2"/>
    <x v="3"/>
    <n v="1"/>
    <n v="1"/>
    <x v="0"/>
  </r>
  <r>
    <d v="2018-02-07T00:00:00"/>
    <n v="125"/>
    <n v="126"/>
    <n v="124"/>
    <n v="125"/>
    <n v="8558500"/>
    <n v="125"/>
    <n v="0"/>
    <n v="127"/>
    <n v="124"/>
    <n v="122"/>
    <n v="1"/>
    <x v="2"/>
    <x v="3"/>
    <n v="2"/>
    <n v="1"/>
    <x v="0"/>
  </r>
  <r>
    <d v="2018-02-08T00:00:00"/>
    <n v="125"/>
    <n v="125"/>
    <n v="125"/>
    <n v="125"/>
    <n v="7343600"/>
    <n v="125"/>
    <n v="0"/>
    <n v="127"/>
    <n v="124"/>
    <n v="122"/>
    <n v="1"/>
    <x v="2"/>
    <x v="3"/>
    <n v="3"/>
    <n v="1"/>
    <x v="0"/>
  </r>
  <r>
    <d v="2018-02-09T00:00:00"/>
    <n v="125"/>
    <n v="125"/>
    <n v="124"/>
    <n v="125"/>
    <n v="14140700"/>
    <n v="125"/>
    <n v="0"/>
    <n v="127"/>
    <n v="124"/>
    <n v="122"/>
    <n v="1"/>
    <x v="2"/>
    <x v="3"/>
    <n v="4"/>
    <n v="1"/>
    <x v="0"/>
  </r>
  <r>
    <d v="2018-02-12T00:00:00"/>
    <n v="125"/>
    <n v="126"/>
    <n v="125"/>
    <n v="125"/>
    <n v="6984900"/>
    <n v="125"/>
    <n v="0"/>
    <n v="127"/>
    <n v="124"/>
    <n v="122"/>
    <n v="1"/>
    <x v="2"/>
    <x v="3"/>
    <n v="0"/>
    <n v="1"/>
    <x v="0"/>
  </r>
  <r>
    <d v="2018-02-13T00:00:00"/>
    <n v="126"/>
    <n v="126"/>
    <n v="126"/>
    <n v="126"/>
    <n v="5321300"/>
    <n v="126"/>
    <n v="1"/>
    <n v="127"/>
    <n v="124"/>
    <n v="122"/>
    <n v="1"/>
    <x v="2"/>
    <x v="3"/>
    <n v="1"/>
    <n v="1"/>
    <x v="0"/>
  </r>
  <r>
    <d v="2018-02-14T00:00:00"/>
    <n v="128"/>
    <n v="129"/>
    <n v="126"/>
    <n v="126"/>
    <n v="16416400"/>
    <n v="128"/>
    <n v="2"/>
    <n v="127"/>
    <n v="124"/>
    <n v="122"/>
    <n v="1"/>
    <x v="2"/>
    <x v="3"/>
    <n v="2"/>
    <n v="1"/>
    <x v="0"/>
  </r>
  <r>
    <d v="2018-02-15T00:00:00"/>
    <n v="128"/>
    <n v="129"/>
    <n v="128"/>
    <n v="128"/>
    <n v="7276500"/>
    <n v="128"/>
    <n v="0"/>
    <n v="127"/>
    <n v="124"/>
    <n v="122"/>
    <n v="1"/>
    <x v="2"/>
    <x v="3"/>
    <n v="3"/>
    <n v="1"/>
    <x v="0"/>
  </r>
  <r>
    <d v="2018-02-16T00:00:00"/>
    <n v="128"/>
    <n v="129"/>
    <n v="128"/>
    <n v="128"/>
    <n v="7956900"/>
    <n v="128"/>
    <n v="0"/>
    <n v="127"/>
    <n v="124"/>
    <n v="122"/>
    <n v="1"/>
    <x v="2"/>
    <x v="3"/>
    <n v="4"/>
    <n v="1"/>
    <x v="0"/>
  </r>
  <r>
    <d v="2018-02-20T00:00:00"/>
    <n v="126"/>
    <n v="127"/>
    <n v="126"/>
    <n v="127"/>
    <n v="11148700"/>
    <n v="126"/>
    <n v="-1"/>
    <n v="127"/>
    <n v="124"/>
    <n v="122"/>
    <n v="1"/>
    <x v="2"/>
    <x v="3"/>
    <n v="1"/>
    <n v="1"/>
    <x v="0"/>
  </r>
  <r>
    <d v="2018-02-21T00:00:00"/>
    <n v="126"/>
    <n v="127"/>
    <n v="125"/>
    <n v="126"/>
    <n v="7908800"/>
    <n v="126"/>
    <n v="0"/>
    <n v="127"/>
    <n v="125"/>
    <n v="122"/>
    <n v="1"/>
    <x v="2"/>
    <x v="3"/>
    <n v="2"/>
    <n v="1"/>
    <x v="0"/>
  </r>
  <r>
    <d v="2018-02-22T00:00:00"/>
    <n v="126"/>
    <n v="126"/>
    <n v="126"/>
    <n v="126"/>
    <n v="5346300"/>
    <n v="126"/>
    <n v="1"/>
    <n v="127"/>
    <n v="125"/>
    <n v="122"/>
    <n v="1"/>
    <x v="2"/>
    <x v="3"/>
    <n v="3"/>
    <n v="1"/>
    <x v="0"/>
  </r>
  <r>
    <d v="2018-02-23T00:00:00"/>
    <n v="126"/>
    <n v="126"/>
    <n v="126"/>
    <n v="126"/>
    <n v="4239700"/>
    <n v="126"/>
    <n v="0"/>
    <n v="127"/>
    <n v="125"/>
    <n v="122"/>
    <n v="1"/>
    <x v="2"/>
    <x v="3"/>
    <n v="4"/>
    <n v="1"/>
    <x v="0"/>
  </r>
  <r>
    <d v="2018-02-26T00:00:00"/>
    <n v="126"/>
    <n v="127"/>
    <n v="126"/>
    <n v="126"/>
    <n v="3194300"/>
    <n v="126"/>
    <n v="0"/>
    <n v="126"/>
    <n v="125"/>
    <n v="122"/>
    <n v="1"/>
    <x v="2"/>
    <x v="3"/>
    <n v="0"/>
    <n v="1"/>
    <x v="0"/>
  </r>
  <r>
    <d v="2018-02-27T00:00:00"/>
    <n v="125"/>
    <n v="126"/>
    <n v="125"/>
    <n v="126"/>
    <n v="7082300"/>
    <n v="125"/>
    <n v="-1"/>
    <n v="126"/>
    <n v="125"/>
    <n v="122"/>
    <n v="1"/>
    <x v="2"/>
    <x v="3"/>
    <n v="1"/>
    <n v="1"/>
    <x v="0"/>
  </r>
  <r>
    <d v="2018-02-28T00:00:00"/>
    <n v="125"/>
    <n v="125"/>
    <n v="125"/>
    <n v="125"/>
    <n v="4534900"/>
    <n v="125"/>
    <n v="0"/>
    <n v="126"/>
    <n v="125"/>
    <n v="122"/>
    <n v="1"/>
    <x v="2"/>
    <x v="3"/>
    <n v="2"/>
    <n v="1"/>
    <x v="0"/>
  </r>
  <r>
    <d v="2018-03-01T00:00:00"/>
    <n v="125"/>
    <n v="125"/>
    <n v="124"/>
    <n v="124"/>
    <n v="12910100"/>
    <n v="125"/>
    <n v="0"/>
    <n v="126"/>
    <n v="125"/>
    <n v="122"/>
    <n v="1"/>
    <x v="2"/>
    <x v="4"/>
    <n v="3"/>
    <n v="1"/>
    <x v="0"/>
  </r>
  <r>
    <d v="2018-03-02T00:00:00"/>
    <n v="125"/>
    <n v="126"/>
    <n v="125"/>
    <n v="126"/>
    <n v="9994300"/>
    <n v="125"/>
    <n v="1"/>
    <n v="126"/>
    <n v="125"/>
    <n v="122"/>
    <n v="1"/>
    <x v="2"/>
    <x v="4"/>
    <n v="4"/>
    <n v="1"/>
    <x v="0"/>
  </r>
  <r>
    <d v="2018-03-05T00:00:00"/>
    <n v="125"/>
    <n v="125"/>
    <n v="125"/>
    <n v="125"/>
    <n v="5778300"/>
    <n v="125"/>
    <n v="0"/>
    <n v="126"/>
    <n v="126"/>
    <n v="122"/>
    <n v="1"/>
    <x v="2"/>
    <x v="4"/>
    <n v="0"/>
    <n v="1"/>
    <x v="0"/>
  </r>
  <r>
    <d v="2018-03-06T00:00:00"/>
    <n v="127"/>
    <n v="127"/>
    <n v="126"/>
    <n v="126"/>
    <n v="8676800"/>
    <n v="127"/>
    <n v="1"/>
    <n v="126"/>
    <n v="126"/>
    <n v="122"/>
    <n v="1"/>
    <x v="2"/>
    <x v="4"/>
    <n v="1"/>
    <n v="1"/>
    <x v="0"/>
  </r>
  <r>
    <d v="2018-03-07T00:00:00"/>
    <n v="126"/>
    <n v="126"/>
    <n v="125"/>
    <n v="126"/>
    <n v="5158700"/>
    <n v="126"/>
    <n v="-1"/>
    <n v="126"/>
    <n v="126"/>
    <n v="122"/>
    <n v="1"/>
    <x v="2"/>
    <x v="4"/>
    <n v="2"/>
    <n v="1"/>
    <x v="0"/>
  </r>
  <r>
    <d v="2018-03-08T00:00:00"/>
    <n v="125"/>
    <n v="126"/>
    <n v="125"/>
    <n v="126"/>
    <n v="3474900"/>
    <n v="125"/>
    <n v="0"/>
    <n v="126"/>
    <n v="126"/>
    <n v="122"/>
    <n v="1"/>
    <x v="2"/>
    <x v="4"/>
    <n v="3"/>
    <n v="1"/>
    <x v="0"/>
  </r>
  <r>
    <d v="2018-03-09T00:00:00"/>
    <n v="126"/>
    <n v="126"/>
    <n v="125"/>
    <n v="125"/>
    <n v="5066800"/>
    <n v="126"/>
    <n v="0"/>
    <n v="126"/>
    <n v="126"/>
    <n v="122"/>
    <n v="1"/>
    <x v="2"/>
    <x v="4"/>
    <n v="4"/>
    <n v="1"/>
    <x v="0"/>
  </r>
  <r>
    <d v="2018-03-12T00:00:00"/>
    <n v="126"/>
    <n v="126"/>
    <n v="125"/>
    <n v="125"/>
    <n v="2884300"/>
    <n v="126"/>
    <n v="0"/>
    <n v="126"/>
    <n v="126"/>
    <n v="122"/>
    <n v="1"/>
    <x v="2"/>
    <x v="4"/>
    <n v="0"/>
    <n v="1"/>
    <x v="0"/>
  </r>
  <r>
    <d v="2018-03-13T00:00:00"/>
    <n v="126"/>
    <n v="126"/>
    <n v="125"/>
    <n v="126"/>
    <n v="4798300"/>
    <n v="126"/>
    <n v="0"/>
    <n v="126"/>
    <n v="126"/>
    <n v="122"/>
    <n v="1"/>
    <x v="2"/>
    <x v="4"/>
    <n v="1"/>
    <n v="1"/>
    <x v="0"/>
  </r>
  <r>
    <d v="2018-03-14T00:00:00"/>
    <n v="126"/>
    <n v="126"/>
    <n v="125"/>
    <n v="125"/>
    <n v="3777000"/>
    <n v="126"/>
    <n v="0"/>
    <n v="126"/>
    <n v="126"/>
    <n v="122"/>
    <n v="1"/>
    <x v="2"/>
    <x v="4"/>
    <n v="2"/>
    <n v="1"/>
    <x v="0"/>
  </r>
  <r>
    <d v="2018-03-15T00:00:00"/>
    <n v="125"/>
    <n v="125"/>
    <n v="125"/>
    <n v="125"/>
    <n v="6130100"/>
    <n v="125"/>
    <n v="-1"/>
    <n v="126"/>
    <n v="126"/>
    <n v="122"/>
    <n v="1"/>
    <x v="2"/>
    <x v="4"/>
    <n v="3"/>
    <n v="1"/>
    <x v="0"/>
  </r>
  <r>
    <d v="2018-03-16T00:00:00"/>
    <n v="125"/>
    <n v="125"/>
    <n v="124"/>
    <n v="125"/>
    <n v="7402200"/>
    <n v="125"/>
    <n v="0"/>
    <n v="126"/>
    <n v="126"/>
    <n v="122"/>
    <n v="1"/>
    <x v="2"/>
    <x v="4"/>
    <n v="4"/>
    <n v="1"/>
    <x v="0"/>
  </r>
  <r>
    <d v="2018-03-19T00:00:00"/>
    <n v="125"/>
    <n v="125"/>
    <n v="124"/>
    <n v="125"/>
    <n v="4335400"/>
    <n v="125"/>
    <n v="0"/>
    <n v="126"/>
    <n v="126"/>
    <n v="122"/>
    <n v="1"/>
    <x v="2"/>
    <x v="4"/>
    <n v="0"/>
    <n v="1"/>
    <x v="0"/>
  </r>
  <r>
    <d v="2018-03-20T00:00:00"/>
    <n v="124"/>
    <n v="125"/>
    <n v="124"/>
    <n v="124"/>
    <n v="3399400"/>
    <n v="124"/>
    <n v="0"/>
    <n v="125"/>
    <n v="126"/>
    <n v="123"/>
    <n v="0"/>
    <x v="2"/>
    <x v="4"/>
    <n v="1"/>
    <n v="1"/>
    <x v="0"/>
  </r>
  <r>
    <d v="2018-03-21T00:00:00"/>
    <n v="126"/>
    <n v="127"/>
    <n v="125"/>
    <n v="125"/>
    <n v="12532000"/>
    <n v="126"/>
    <n v="2"/>
    <n v="125"/>
    <n v="126"/>
    <n v="123"/>
    <n v="1"/>
    <x v="2"/>
    <x v="4"/>
    <n v="2"/>
    <n v="1"/>
    <x v="0"/>
  </r>
  <r>
    <d v="2018-03-22T00:00:00"/>
    <n v="126"/>
    <n v="126"/>
    <n v="126"/>
    <n v="126"/>
    <n v="5298700"/>
    <n v="126"/>
    <n v="0"/>
    <n v="125"/>
    <n v="126"/>
    <n v="123"/>
    <n v="1"/>
    <x v="2"/>
    <x v="4"/>
    <n v="3"/>
    <n v="1"/>
    <x v="0"/>
  </r>
  <r>
    <d v="2018-03-23T00:00:00"/>
    <n v="128"/>
    <n v="128"/>
    <n v="128"/>
    <n v="128"/>
    <n v="12025900"/>
    <n v="128"/>
    <n v="1"/>
    <n v="126"/>
    <n v="126"/>
    <n v="123"/>
    <n v="1"/>
    <x v="2"/>
    <x v="4"/>
    <n v="4"/>
    <n v="1"/>
    <x v="0"/>
  </r>
  <r>
    <d v="2018-03-26T00:00:00"/>
    <n v="128"/>
    <n v="129"/>
    <n v="128"/>
    <n v="128"/>
    <n v="6169800"/>
    <n v="128"/>
    <n v="1"/>
    <n v="126"/>
    <n v="126"/>
    <n v="123"/>
    <n v="1"/>
    <x v="2"/>
    <x v="4"/>
    <n v="0"/>
    <n v="1"/>
    <x v="0"/>
  </r>
  <r>
    <d v="2018-03-27T00:00:00"/>
    <n v="127"/>
    <n v="128"/>
    <n v="127"/>
    <n v="127"/>
    <n v="6180700"/>
    <n v="127"/>
    <n v="-1"/>
    <n v="126"/>
    <n v="126"/>
    <n v="123"/>
    <n v="1"/>
    <x v="2"/>
    <x v="4"/>
    <n v="1"/>
    <n v="1"/>
    <x v="0"/>
  </r>
  <r>
    <d v="2018-03-28T00:00:00"/>
    <n v="126"/>
    <n v="127"/>
    <n v="126"/>
    <n v="126"/>
    <n v="10254900"/>
    <n v="126"/>
    <n v="-1"/>
    <n v="126"/>
    <n v="126"/>
    <n v="123"/>
    <n v="1"/>
    <x v="2"/>
    <x v="4"/>
    <n v="2"/>
    <n v="1"/>
    <x v="0"/>
  </r>
  <r>
    <d v="2018-03-29T00:00:00"/>
    <n v="126"/>
    <n v="126"/>
    <n v="125"/>
    <n v="125"/>
    <n v="7102000"/>
    <n v="126"/>
    <n v="0"/>
    <n v="126"/>
    <n v="126"/>
    <n v="123"/>
    <n v="1"/>
    <x v="2"/>
    <x v="4"/>
    <n v="3"/>
    <n v="1"/>
    <x v="0"/>
  </r>
  <r>
    <d v="2018-04-02T00:00:00"/>
    <n v="127"/>
    <n v="128"/>
    <n v="126"/>
    <n v="127"/>
    <n v="11421100"/>
    <n v="127"/>
    <n v="1"/>
    <n v="126"/>
    <n v="126"/>
    <n v="123"/>
    <n v="1"/>
    <x v="2"/>
    <x v="5"/>
    <n v="0"/>
    <n v="2"/>
    <x v="0"/>
  </r>
  <r>
    <d v="2018-04-03T00:00:00"/>
    <n v="126"/>
    <n v="127"/>
    <n v="126"/>
    <n v="127"/>
    <n v="6083700"/>
    <n v="126"/>
    <n v="-1"/>
    <n v="126"/>
    <n v="126"/>
    <n v="123"/>
    <n v="1"/>
    <x v="2"/>
    <x v="5"/>
    <n v="1"/>
    <n v="2"/>
    <x v="0"/>
  </r>
  <r>
    <d v="2018-04-04T00:00:00"/>
    <n v="126"/>
    <n v="128"/>
    <n v="126"/>
    <n v="128"/>
    <n v="7488300"/>
    <n v="126"/>
    <n v="0"/>
    <n v="126"/>
    <n v="126"/>
    <n v="123"/>
    <n v="1"/>
    <x v="2"/>
    <x v="5"/>
    <n v="2"/>
    <n v="2"/>
    <x v="0"/>
  </r>
  <r>
    <d v="2018-04-05T00:00:00"/>
    <n v="126"/>
    <n v="126"/>
    <n v="125"/>
    <n v="125"/>
    <n v="5333000"/>
    <n v="126"/>
    <n v="-1"/>
    <n v="126"/>
    <n v="126"/>
    <n v="123"/>
    <n v="1"/>
    <x v="2"/>
    <x v="5"/>
    <n v="3"/>
    <n v="2"/>
    <x v="0"/>
  </r>
  <r>
    <d v="2018-04-06T00:00:00"/>
    <n v="126"/>
    <n v="127"/>
    <n v="126"/>
    <n v="127"/>
    <n v="6121200"/>
    <n v="126"/>
    <n v="0"/>
    <n v="126"/>
    <n v="126"/>
    <n v="123"/>
    <n v="1"/>
    <x v="2"/>
    <x v="5"/>
    <n v="4"/>
    <n v="2"/>
    <x v="0"/>
  </r>
  <r>
    <d v="2018-04-09T00:00:00"/>
    <n v="127"/>
    <n v="127"/>
    <n v="126"/>
    <n v="126"/>
    <n v="4189900"/>
    <n v="127"/>
    <n v="0"/>
    <n v="126"/>
    <n v="126"/>
    <n v="123"/>
    <n v="1"/>
    <x v="2"/>
    <x v="5"/>
    <n v="0"/>
    <n v="2"/>
    <x v="0"/>
  </r>
  <r>
    <d v="2018-04-10T00:00:00"/>
    <n v="127"/>
    <n v="127"/>
    <n v="127"/>
    <n v="127"/>
    <n v="5268800"/>
    <n v="127"/>
    <n v="0"/>
    <n v="126"/>
    <n v="126"/>
    <n v="123"/>
    <n v="1"/>
    <x v="2"/>
    <x v="5"/>
    <n v="1"/>
    <n v="2"/>
    <x v="0"/>
  </r>
  <r>
    <d v="2018-04-11T00:00:00"/>
    <n v="128"/>
    <n v="129"/>
    <n v="128"/>
    <n v="128"/>
    <n v="12348600"/>
    <n v="128"/>
    <n v="1"/>
    <n v="126"/>
    <n v="126"/>
    <n v="123"/>
    <n v="1"/>
    <x v="2"/>
    <x v="5"/>
    <n v="2"/>
    <n v="2"/>
    <x v="0"/>
  </r>
  <r>
    <d v="2018-04-12T00:00:00"/>
    <n v="127"/>
    <n v="127"/>
    <n v="126"/>
    <n v="127"/>
    <n v="8141300"/>
    <n v="127"/>
    <n v="-1"/>
    <n v="126"/>
    <n v="126"/>
    <n v="123"/>
    <n v="1"/>
    <x v="2"/>
    <x v="5"/>
    <n v="3"/>
    <n v="2"/>
    <x v="0"/>
  </r>
  <r>
    <d v="2018-04-13T00:00:00"/>
    <n v="127"/>
    <n v="128"/>
    <n v="127"/>
    <n v="127"/>
    <n v="6821300"/>
    <n v="127"/>
    <n v="1"/>
    <n v="126"/>
    <n v="126"/>
    <n v="123"/>
    <n v="1"/>
    <x v="2"/>
    <x v="5"/>
    <n v="4"/>
    <n v="2"/>
    <x v="0"/>
  </r>
  <r>
    <d v="2018-04-16T00:00:00"/>
    <n v="128"/>
    <n v="128"/>
    <n v="128"/>
    <n v="128"/>
    <n v="4600000"/>
    <n v="128"/>
    <n v="0"/>
    <n v="127"/>
    <n v="126"/>
    <n v="123"/>
    <n v="1"/>
    <x v="2"/>
    <x v="5"/>
    <n v="0"/>
    <n v="2"/>
    <x v="0"/>
  </r>
  <r>
    <d v="2018-04-17T00:00:00"/>
    <n v="128"/>
    <n v="128"/>
    <n v="127"/>
    <n v="127"/>
    <n v="4184100"/>
    <n v="128"/>
    <n v="0"/>
    <n v="127"/>
    <n v="126"/>
    <n v="123"/>
    <n v="1"/>
    <x v="2"/>
    <x v="5"/>
    <n v="1"/>
    <n v="2"/>
    <x v="0"/>
  </r>
  <r>
    <d v="2018-04-18T00:00:00"/>
    <n v="128"/>
    <n v="129"/>
    <n v="128"/>
    <n v="128"/>
    <n v="6755600"/>
    <n v="128"/>
    <n v="0"/>
    <n v="127"/>
    <n v="126"/>
    <n v="123"/>
    <n v="1"/>
    <x v="2"/>
    <x v="5"/>
    <n v="2"/>
    <n v="2"/>
    <x v="0"/>
  </r>
  <r>
    <d v="2018-04-19T00:00:00"/>
    <n v="128"/>
    <n v="128"/>
    <n v="127"/>
    <n v="128"/>
    <n v="8736100"/>
    <n v="128"/>
    <n v="0"/>
    <n v="127"/>
    <n v="126"/>
    <n v="123"/>
    <n v="1"/>
    <x v="2"/>
    <x v="5"/>
    <n v="3"/>
    <n v="2"/>
    <x v="0"/>
  </r>
  <r>
    <d v="2018-04-20T00:00:00"/>
    <n v="127"/>
    <n v="127"/>
    <n v="127"/>
    <n v="127"/>
    <n v="10403100"/>
    <n v="127"/>
    <n v="-1"/>
    <n v="127"/>
    <n v="126"/>
    <n v="123"/>
    <n v="1"/>
    <x v="2"/>
    <x v="5"/>
    <n v="4"/>
    <n v="2"/>
    <x v="0"/>
  </r>
  <r>
    <d v="2018-04-23T00:00:00"/>
    <n v="126"/>
    <n v="126"/>
    <n v="125"/>
    <n v="126"/>
    <n v="6921500"/>
    <n v="126"/>
    <n v="-1"/>
    <n v="127"/>
    <n v="126"/>
    <n v="123"/>
    <n v="1"/>
    <x v="2"/>
    <x v="5"/>
    <n v="0"/>
    <n v="2"/>
    <x v="0"/>
  </r>
  <r>
    <d v="2018-04-24T00:00:00"/>
    <n v="126"/>
    <n v="126"/>
    <n v="126"/>
    <n v="126"/>
    <n v="4733100"/>
    <n v="126"/>
    <n v="0"/>
    <n v="127"/>
    <n v="126"/>
    <n v="123"/>
    <n v="1"/>
    <x v="2"/>
    <x v="5"/>
    <n v="1"/>
    <n v="2"/>
    <x v="0"/>
  </r>
  <r>
    <d v="2018-04-25T00:00:00"/>
    <n v="125"/>
    <n v="126"/>
    <n v="125"/>
    <n v="125"/>
    <n v="5985700"/>
    <n v="125"/>
    <n v="-1"/>
    <n v="127"/>
    <n v="126"/>
    <n v="123"/>
    <n v="1"/>
    <x v="2"/>
    <x v="5"/>
    <n v="2"/>
    <n v="2"/>
    <x v="0"/>
  </r>
  <r>
    <d v="2018-04-26T00:00:00"/>
    <n v="125"/>
    <n v="126"/>
    <n v="125"/>
    <n v="126"/>
    <n v="7517100"/>
    <n v="125"/>
    <n v="0"/>
    <n v="127"/>
    <n v="126"/>
    <n v="124"/>
    <n v="1"/>
    <x v="2"/>
    <x v="5"/>
    <n v="3"/>
    <n v="2"/>
    <x v="0"/>
  </r>
  <r>
    <d v="2018-04-27T00:00:00"/>
    <n v="126"/>
    <n v="126"/>
    <n v="125"/>
    <n v="125"/>
    <n v="5654000"/>
    <n v="126"/>
    <n v="0"/>
    <n v="127"/>
    <n v="126"/>
    <n v="124"/>
    <n v="1"/>
    <x v="2"/>
    <x v="5"/>
    <n v="4"/>
    <n v="2"/>
    <x v="0"/>
  </r>
  <r>
    <d v="2018-04-30T00:00:00"/>
    <n v="125"/>
    <n v="125"/>
    <n v="124"/>
    <n v="124"/>
    <n v="9830600"/>
    <n v="125"/>
    <n v="-1"/>
    <n v="127"/>
    <n v="126"/>
    <n v="124"/>
    <n v="1"/>
    <x v="2"/>
    <x v="5"/>
    <n v="0"/>
    <n v="2"/>
    <x v="0"/>
  </r>
  <r>
    <d v="2018-05-01T00:00:00"/>
    <n v="124"/>
    <n v="124"/>
    <n v="123"/>
    <n v="124"/>
    <n v="7551600"/>
    <n v="124"/>
    <n v="-1"/>
    <n v="126"/>
    <n v="126"/>
    <n v="124"/>
    <n v="1"/>
    <x v="2"/>
    <x v="6"/>
    <n v="1"/>
    <n v="2"/>
    <x v="0"/>
  </r>
  <r>
    <d v="2018-05-02T00:00:00"/>
    <n v="124"/>
    <n v="125"/>
    <n v="124"/>
    <n v="124"/>
    <n v="7614000"/>
    <n v="124"/>
    <n v="0"/>
    <n v="126"/>
    <n v="126"/>
    <n v="124"/>
    <n v="1"/>
    <x v="2"/>
    <x v="6"/>
    <n v="2"/>
    <n v="2"/>
    <x v="0"/>
  </r>
  <r>
    <d v="2018-05-03T00:00:00"/>
    <n v="124"/>
    <n v="125"/>
    <n v="124"/>
    <n v="125"/>
    <n v="4857400"/>
    <n v="124"/>
    <n v="1"/>
    <n v="126"/>
    <n v="126"/>
    <n v="124"/>
    <n v="1"/>
    <x v="2"/>
    <x v="6"/>
    <n v="3"/>
    <n v="2"/>
    <x v="0"/>
  </r>
  <r>
    <d v="2018-05-04T00:00:00"/>
    <n v="125"/>
    <n v="125"/>
    <n v="124"/>
    <n v="124"/>
    <n v="5883600"/>
    <n v="125"/>
    <n v="0"/>
    <n v="126"/>
    <n v="126"/>
    <n v="124"/>
    <n v="1"/>
    <x v="2"/>
    <x v="6"/>
    <n v="4"/>
    <n v="2"/>
    <x v="0"/>
  </r>
  <r>
    <d v="2018-05-07T00:00:00"/>
    <n v="125"/>
    <n v="125"/>
    <n v="124"/>
    <n v="125"/>
    <n v="3397500"/>
    <n v="125"/>
    <n v="0"/>
    <n v="126"/>
    <n v="126"/>
    <n v="124"/>
    <n v="1"/>
    <x v="2"/>
    <x v="6"/>
    <n v="0"/>
    <n v="2"/>
    <x v="0"/>
  </r>
  <r>
    <d v="2018-05-08T00:00:00"/>
    <n v="125"/>
    <n v="125"/>
    <n v="124"/>
    <n v="124"/>
    <n v="5551100"/>
    <n v="125"/>
    <n v="0"/>
    <n v="126"/>
    <n v="126"/>
    <n v="124"/>
    <n v="1"/>
    <x v="2"/>
    <x v="6"/>
    <n v="1"/>
    <n v="2"/>
    <x v="0"/>
  </r>
  <r>
    <d v="2018-05-09T00:00:00"/>
    <n v="124"/>
    <n v="125"/>
    <n v="124"/>
    <n v="124"/>
    <n v="4405600"/>
    <n v="124"/>
    <n v="0"/>
    <n v="126"/>
    <n v="126"/>
    <n v="124"/>
    <n v="1"/>
    <x v="2"/>
    <x v="6"/>
    <n v="2"/>
    <n v="2"/>
    <x v="0"/>
  </r>
  <r>
    <d v="2018-05-10T00:00:00"/>
    <n v="125"/>
    <n v="125"/>
    <n v="125"/>
    <n v="125"/>
    <n v="5218400"/>
    <n v="125"/>
    <n v="1"/>
    <n v="126"/>
    <n v="126"/>
    <n v="124"/>
    <n v="0"/>
    <x v="2"/>
    <x v="6"/>
    <n v="3"/>
    <n v="2"/>
    <x v="0"/>
  </r>
  <r>
    <d v="2018-05-11T00:00:00"/>
    <n v="125"/>
    <n v="126"/>
    <n v="125"/>
    <n v="126"/>
    <n v="4299200"/>
    <n v="125"/>
    <n v="0"/>
    <n v="125"/>
    <n v="126"/>
    <n v="124"/>
    <n v="0"/>
    <x v="2"/>
    <x v="6"/>
    <n v="4"/>
    <n v="2"/>
    <x v="0"/>
  </r>
  <r>
    <d v="2018-05-14T00:00:00"/>
    <n v="124"/>
    <n v="125"/>
    <n v="124"/>
    <n v="125"/>
    <n v="3753200"/>
    <n v="124"/>
    <n v="0"/>
    <n v="125"/>
    <n v="126"/>
    <n v="124"/>
    <n v="0"/>
    <x v="2"/>
    <x v="6"/>
    <n v="0"/>
    <n v="2"/>
    <x v="0"/>
  </r>
  <r>
    <d v="2018-05-15T00:00:00"/>
    <n v="122"/>
    <n v="123"/>
    <n v="122"/>
    <n v="123"/>
    <n v="10911900"/>
    <n v="122"/>
    <n v="-2"/>
    <n v="125"/>
    <n v="126"/>
    <n v="124"/>
    <n v="1"/>
    <x v="2"/>
    <x v="6"/>
    <n v="1"/>
    <n v="2"/>
    <x v="0"/>
  </r>
  <r>
    <d v="2018-05-16T00:00:00"/>
    <n v="122"/>
    <n v="123"/>
    <n v="122"/>
    <n v="122"/>
    <n v="4943300"/>
    <n v="122"/>
    <n v="0"/>
    <n v="125"/>
    <n v="126"/>
    <n v="124"/>
    <n v="1"/>
    <x v="2"/>
    <x v="6"/>
    <n v="2"/>
    <n v="2"/>
    <x v="0"/>
  </r>
  <r>
    <d v="2018-05-17T00:00:00"/>
    <n v="122"/>
    <n v="122"/>
    <n v="122"/>
    <n v="122"/>
    <n v="7781300"/>
    <n v="122"/>
    <n v="0"/>
    <n v="125"/>
    <n v="126"/>
    <n v="124"/>
    <n v="1"/>
    <x v="2"/>
    <x v="6"/>
    <n v="3"/>
    <n v="2"/>
    <x v="0"/>
  </r>
  <r>
    <d v="2018-05-18T00:00:00"/>
    <n v="122"/>
    <n v="123"/>
    <n v="122"/>
    <n v="122"/>
    <n v="6837100"/>
    <n v="122"/>
    <n v="0"/>
    <n v="124"/>
    <n v="126"/>
    <n v="124"/>
    <n v="1"/>
    <x v="2"/>
    <x v="6"/>
    <n v="4"/>
    <n v="2"/>
    <x v="0"/>
  </r>
  <r>
    <d v="2018-05-21T00:00:00"/>
    <n v="122"/>
    <n v="123"/>
    <n v="122"/>
    <n v="122"/>
    <n v="4126700"/>
    <n v="122"/>
    <n v="0"/>
    <n v="124"/>
    <n v="126"/>
    <n v="124"/>
    <n v="1"/>
    <x v="2"/>
    <x v="6"/>
    <n v="0"/>
    <n v="2"/>
    <x v="0"/>
  </r>
  <r>
    <d v="2018-05-22T00:00:00"/>
    <n v="122"/>
    <n v="123"/>
    <n v="122"/>
    <n v="123"/>
    <n v="4579600"/>
    <n v="122"/>
    <n v="0"/>
    <n v="124"/>
    <n v="125"/>
    <n v="124"/>
    <n v="1"/>
    <x v="2"/>
    <x v="6"/>
    <n v="1"/>
    <n v="2"/>
    <x v="0"/>
  </r>
  <r>
    <d v="2018-05-23T00:00:00"/>
    <n v="123"/>
    <n v="123"/>
    <n v="122"/>
    <n v="122"/>
    <n v="7007300"/>
    <n v="123"/>
    <n v="0"/>
    <n v="124"/>
    <n v="125"/>
    <n v="124"/>
    <n v="0"/>
    <x v="2"/>
    <x v="6"/>
    <n v="2"/>
    <n v="2"/>
    <x v="0"/>
  </r>
  <r>
    <d v="2018-05-24T00:00:00"/>
    <n v="124"/>
    <n v="124"/>
    <n v="123"/>
    <n v="123"/>
    <n v="8850100"/>
    <n v="124"/>
    <n v="1"/>
    <n v="124"/>
    <n v="125"/>
    <n v="124"/>
    <n v="1"/>
    <x v="2"/>
    <x v="6"/>
    <n v="3"/>
    <n v="2"/>
    <x v="0"/>
  </r>
  <r>
    <d v="2018-05-25T00:00:00"/>
    <n v="123"/>
    <n v="124"/>
    <n v="123"/>
    <n v="124"/>
    <n v="7920700"/>
    <n v="123"/>
    <n v="0"/>
    <n v="124"/>
    <n v="125"/>
    <n v="124"/>
    <n v="1"/>
    <x v="2"/>
    <x v="6"/>
    <n v="4"/>
    <n v="2"/>
    <x v="0"/>
  </r>
  <r>
    <d v="2018-05-29T00:00:00"/>
    <n v="123"/>
    <n v="124"/>
    <n v="123"/>
    <n v="123"/>
    <n v="9013200"/>
    <n v="123"/>
    <n v="0"/>
    <n v="124"/>
    <n v="125"/>
    <n v="124"/>
    <n v="1"/>
    <x v="2"/>
    <x v="6"/>
    <n v="1"/>
    <n v="2"/>
    <x v="0"/>
  </r>
  <r>
    <d v="2018-05-30T00:00:00"/>
    <n v="123"/>
    <n v="124"/>
    <n v="123"/>
    <n v="123"/>
    <n v="4573700"/>
    <n v="123"/>
    <n v="0"/>
    <n v="124"/>
    <n v="125"/>
    <n v="124"/>
    <n v="0"/>
    <x v="2"/>
    <x v="6"/>
    <n v="2"/>
    <n v="2"/>
    <x v="0"/>
  </r>
  <r>
    <d v="2018-05-31T00:00:00"/>
    <n v="123"/>
    <n v="124"/>
    <n v="123"/>
    <n v="123"/>
    <n v="7862500"/>
    <n v="123"/>
    <n v="0"/>
    <n v="124"/>
    <n v="125"/>
    <n v="124"/>
    <n v="0"/>
    <x v="2"/>
    <x v="6"/>
    <n v="3"/>
    <n v="2"/>
    <x v="0"/>
  </r>
  <r>
    <d v="2018-06-01T00:00:00"/>
    <n v="122"/>
    <n v="123"/>
    <n v="122"/>
    <n v="123"/>
    <n v="8059100"/>
    <n v="122"/>
    <n v="0"/>
    <n v="123"/>
    <n v="125"/>
    <n v="124"/>
    <n v="0"/>
    <x v="2"/>
    <x v="7"/>
    <n v="4"/>
    <n v="2"/>
    <x v="0"/>
  </r>
  <r>
    <d v="2018-06-04T00:00:00"/>
    <n v="122"/>
    <n v="123"/>
    <n v="122"/>
    <n v="123"/>
    <n v="4345400"/>
    <n v="122"/>
    <n v="0"/>
    <n v="123"/>
    <n v="125"/>
    <n v="124"/>
    <n v="0"/>
    <x v="2"/>
    <x v="7"/>
    <n v="0"/>
    <n v="2"/>
    <x v="0"/>
  </r>
  <r>
    <d v="2018-06-05T00:00:00"/>
    <n v="123"/>
    <n v="123"/>
    <n v="122"/>
    <n v="123"/>
    <n v="6864200"/>
    <n v="123"/>
    <n v="0"/>
    <n v="123"/>
    <n v="125"/>
    <n v="124"/>
    <n v="0"/>
    <x v="2"/>
    <x v="7"/>
    <n v="1"/>
    <n v="2"/>
    <x v="0"/>
  </r>
  <r>
    <d v="2018-06-06T00:00:00"/>
    <n v="123"/>
    <n v="123"/>
    <n v="123"/>
    <n v="123"/>
    <n v="4083700"/>
    <n v="123"/>
    <n v="0"/>
    <n v="123"/>
    <n v="125"/>
    <n v="124"/>
    <n v="0"/>
    <x v="2"/>
    <x v="7"/>
    <n v="2"/>
    <n v="2"/>
    <x v="0"/>
  </r>
  <r>
    <d v="2018-06-07T00:00:00"/>
    <n v="123"/>
    <n v="123"/>
    <n v="123"/>
    <n v="123"/>
    <n v="3700700"/>
    <n v="123"/>
    <n v="0"/>
    <n v="123"/>
    <n v="125"/>
    <n v="124"/>
    <n v="0"/>
    <x v="2"/>
    <x v="7"/>
    <n v="3"/>
    <n v="2"/>
    <x v="0"/>
  </r>
  <r>
    <d v="2018-06-08T00:00:00"/>
    <n v="123"/>
    <n v="123"/>
    <n v="123"/>
    <n v="123"/>
    <n v="3865700"/>
    <n v="123"/>
    <n v="0"/>
    <n v="123"/>
    <n v="125"/>
    <n v="124"/>
    <n v="0"/>
    <x v="2"/>
    <x v="7"/>
    <n v="4"/>
    <n v="2"/>
    <x v="0"/>
  </r>
  <r>
    <d v="2018-06-11T00:00:00"/>
    <n v="123"/>
    <n v="123"/>
    <n v="123"/>
    <n v="123"/>
    <n v="3201200"/>
    <n v="123"/>
    <n v="0"/>
    <n v="123"/>
    <n v="125"/>
    <n v="124"/>
    <n v="0"/>
    <x v="2"/>
    <x v="7"/>
    <n v="0"/>
    <n v="2"/>
    <x v="0"/>
  </r>
  <r>
    <d v="2018-06-12T00:00:00"/>
    <n v="123"/>
    <n v="123"/>
    <n v="123"/>
    <n v="123"/>
    <n v="7279600"/>
    <n v="123"/>
    <n v="0"/>
    <n v="123"/>
    <n v="125"/>
    <n v="124"/>
    <n v="0"/>
    <x v="2"/>
    <x v="7"/>
    <n v="1"/>
    <n v="2"/>
    <x v="0"/>
  </r>
  <r>
    <d v="2018-06-13T00:00:00"/>
    <n v="123"/>
    <n v="123"/>
    <n v="122"/>
    <n v="123"/>
    <n v="5867700"/>
    <n v="123"/>
    <n v="0"/>
    <n v="123"/>
    <n v="125"/>
    <n v="124"/>
    <n v="0"/>
    <x v="2"/>
    <x v="7"/>
    <n v="2"/>
    <n v="2"/>
    <x v="0"/>
  </r>
  <r>
    <d v="2018-06-14T00:00:00"/>
    <n v="123"/>
    <n v="124"/>
    <n v="123"/>
    <n v="124"/>
    <n v="8015400"/>
    <n v="123"/>
    <n v="0"/>
    <n v="123"/>
    <n v="124"/>
    <n v="124"/>
    <n v="0"/>
    <x v="2"/>
    <x v="7"/>
    <n v="3"/>
    <n v="2"/>
    <x v="1"/>
  </r>
  <r>
    <d v="2018-06-15T00:00:00"/>
    <n v="121"/>
    <n v="122"/>
    <n v="121"/>
    <n v="122"/>
    <n v="14537000"/>
    <n v="121"/>
    <n v="-2"/>
    <n v="123"/>
    <n v="124"/>
    <n v="124"/>
    <n v="0"/>
    <x v="2"/>
    <x v="7"/>
    <n v="4"/>
    <n v="2"/>
    <x v="0"/>
  </r>
  <r>
    <d v="2018-06-18T00:00:00"/>
    <n v="121"/>
    <n v="121"/>
    <n v="121"/>
    <n v="121"/>
    <n v="3846000"/>
    <n v="121"/>
    <n v="0"/>
    <n v="123"/>
    <n v="124"/>
    <n v="124"/>
    <n v="0"/>
    <x v="2"/>
    <x v="7"/>
    <n v="0"/>
    <n v="2"/>
    <x v="0"/>
  </r>
  <r>
    <d v="2018-06-19T00:00:00"/>
    <n v="121"/>
    <n v="121"/>
    <n v="121"/>
    <n v="121"/>
    <n v="4925800"/>
    <n v="121"/>
    <n v="0"/>
    <n v="123"/>
    <n v="124"/>
    <n v="124"/>
    <n v="0"/>
    <x v="2"/>
    <x v="7"/>
    <n v="1"/>
    <n v="2"/>
    <x v="0"/>
  </r>
  <r>
    <d v="2018-06-20T00:00:00"/>
    <n v="120"/>
    <n v="121"/>
    <n v="120"/>
    <n v="121"/>
    <n v="4548500"/>
    <n v="120"/>
    <n v="0"/>
    <n v="123"/>
    <n v="124"/>
    <n v="124"/>
    <n v="0"/>
    <x v="2"/>
    <x v="7"/>
    <n v="2"/>
    <n v="2"/>
    <x v="0"/>
  </r>
  <r>
    <d v="2018-06-21T00:00:00"/>
    <n v="120"/>
    <n v="120"/>
    <n v="120"/>
    <n v="120"/>
    <n v="5681900"/>
    <n v="120"/>
    <n v="0"/>
    <n v="122"/>
    <n v="124"/>
    <n v="124"/>
    <n v="0"/>
    <x v="2"/>
    <x v="7"/>
    <n v="3"/>
    <n v="2"/>
    <x v="0"/>
  </r>
  <r>
    <d v="2018-06-22T00:00:00"/>
    <n v="120"/>
    <n v="120"/>
    <n v="120"/>
    <n v="120"/>
    <n v="4489400"/>
    <n v="120"/>
    <n v="0"/>
    <n v="122"/>
    <n v="124"/>
    <n v="124"/>
    <n v="0"/>
    <x v="2"/>
    <x v="7"/>
    <n v="4"/>
    <n v="2"/>
    <x v="0"/>
  </r>
  <r>
    <d v="2018-06-25T00:00:00"/>
    <n v="120"/>
    <n v="120"/>
    <n v="120"/>
    <n v="120"/>
    <n v="9300200"/>
    <n v="120"/>
    <n v="0"/>
    <n v="122"/>
    <n v="124"/>
    <n v="124"/>
    <n v="0"/>
    <x v="2"/>
    <x v="7"/>
    <n v="0"/>
    <n v="2"/>
    <x v="0"/>
  </r>
  <r>
    <d v="2018-06-26T00:00:00"/>
    <n v="119"/>
    <n v="120"/>
    <n v="119"/>
    <n v="119"/>
    <n v="8674500"/>
    <n v="119"/>
    <n v="-1"/>
    <n v="122"/>
    <n v="123"/>
    <n v="124"/>
    <n v="0"/>
    <x v="2"/>
    <x v="7"/>
    <n v="1"/>
    <n v="2"/>
    <x v="0"/>
  </r>
  <r>
    <d v="2018-06-27T00:00:00"/>
    <n v="119"/>
    <n v="119"/>
    <n v="118"/>
    <n v="119"/>
    <n v="6480100"/>
    <n v="119"/>
    <n v="-1"/>
    <n v="122"/>
    <n v="123"/>
    <n v="124"/>
    <n v="0"/>
    <x v="2"/>
    <x v="7"/>
    <n v="2"/>
    <n v="2"/>
    <x v="0"/>
  </r>
  <r>
    <d v="2018-06-28T00:00:00"/>
    <n v="118"/>
    <n v="119"/>
    <n v="118"/>
    <n v="119"/>
    <n v="7760500"/>
    <n v="118"/>
    <n v="0"/>
    <n v="121"/>
    <n v="123"/>
    <n v="124"/>
    <n v="0"/>
    <x v="2"/>
    <x v="7"/>
    <n v="3"/>
    <n v="2"/>
    <x v="0"/>
  </r>
  <r>
    <d v="2018-06-29T00:00:00"/>
    <n v="119"/>
    <n v="119"/>
    <n v="118"/>
    <n v="118"/>
    <n v="8002800"/>
    <n v="119"/>
    <n v="0"/>
    <n v="121"/>
    <n v="123"/>
    <n v="124"/>
    <n v="0"/>
    <x v="2"/>
    <x v="7"/>
    <n v="4"/>
    <n v="2"/>
    <x v="0"/>
  </r>
  <r>
    <d v="2018-07-02T00:00:00"/>
    <n v="117"/>
    <n v="118"/>
    <n v="117"/>
    <n v="118"/>
    <n v="12021900"/>
    <n v="117"/>
    <n v="-1"/>
    <n v="121"/>
    <n v="123"/>
    <n v="124"/>
    <n v="0"/>
    <x v="2"/>
    <x v="8"/>
    <n v="0"/>
    <n v="3"/>
    <x v="0"/>
  </r>
  <r>
    <d v="2018-07-03T00:00:00"/>
    <n v="119"/>
    <n v="119"/>
    <n v="118"/>
    <n v="118"/>
    <n v="8901000"/>
    <n v="119"/>
    <n v="1"/>
    <n v="121"/>
    <n v="123"/>
    <n v="124"/>
    <n v="1"/>
    <x v="2"/>
    <x v="8"/>
    <n v="1"/>
    <n v="3"/>
    <x v="0"/>
  </r>
  <r>
    <d v="2018-07-05T00:00:00"/>
    <n v="119"/>
    <n v="119"/>
    <n v="119"/>
    <n v="119"/>
    <n v="4951900"/>
    <n v="119"/>
    <n v="0"/>
    <n v="121"/>
    <n v="122"/>
    <n v="124"/>
    <n v="1"/>
    <x v="2"/>
    <x v="8"/>
    <n v="3"/>
    <n v="3"/>
    <x v="0"/>
  </r>
  <r>
    <d v="2018-07-06T00:00:00"/>
    <n v="119"/>
    <n v="119"/>
    <n v="119"/>
    <n v="119"/>
    <n v="2946900"/>
    <n v="119"/>
    <n v="0"/>
    <n v="120"/>
    <n v="122"/>
    <n v="124"/>
    <n v="1"/>
    <x v="2"/>
    <x v="8"/>
    <n v="4"/>
    <n v="3"/>
    <x v="0"/>
  </r>
  <r>
    <d v="2018-07-09T00:00:00"/>
    <n v="119"/>
    <n v="120"/>
    <n v="119"/>
    <n v="120"/>
    <n v="4074900"/>
    <n v="119"/>
    <n v="0"/>
    <n v="120"/>
    <n v="122"/>
    <n v="124"/>
    <n v="1"/>
    <x v="2"/>
    <x v="8"/>
    <n v="0"/>
    <n v="3"/>
    <x v="0"/>
  </r>
  <r>
    <d v="2018-07-10T00:00:00"/>
    <n v="119"/>
    <n v="119"/>
    <n v="119"/>
    <n v="119"/>
    <n v="3754800"/>
    <n v="119"/>
    <n v="0"/>
    <n v="120"/>
    <n v="122"/>
    <n v="124"/>
    <n v="1"/>
    <x v="2"/>
    <x v="8"/>
    <n v="1"/>
    <n v="3"/>
    <x v="0"/>
  </r>
  <r>
    <d v="2018-07-11T00:00:00"/>
    <n v="118"/>
    <n v="119"/>
    <n v="118"/>
    <n v="118"/>
    <n v="6974500"/>
    <n v="118"/>
    <n v="-1"/>
    <n v="120"/>
    <n v="122"/>
    <n v="123"/>
    <n v="1"/>
    <x v="2"/>
    <x v="8"/>
    <n v="2"/>
    <n v="3"/>
    <x v="0"/>
  </r>
  <r>
    <d v="2018-07-12T00:00:00"/>
    <n v="118"/>
    <n v="118"/>
    <n v="118"/>
    <n v="118"/>
    <n v="4585300"/>
    <n v="118"/>
    <n v="0"/>
    <n v="119"/>
    <n v="122"/>
    <n v="123"/>
    <n v="1"/>
    <x v="2"/>
    <x v="8"/>
    <n v="3"/>
    <n v="3"/>
    <x v="0"/>
  </r>
  <r>
    <d v="2018-07-13T00:00:00"/>
    <n v="118"/>
    <n v="118"/>
    <n v="117"/>
    <n v="118"/>
    <n v="5444300"/>
    <n v="118"/>
    <n v="0"/>
    <n v="119"/>
    <n v="122"/>
    <n v="123"/>
    <n v="1"/>
    <x v="2"/>
    <x v="8"/>
    <n v="4"/>
    <n v="3"/>
    <x v="0"/>
  </r>
  <r>
    <d v="2018-07-16T00:00:00"/>
    <n v="118"/>
    <n v="118"/>
    <n v="117"/>
    <n v="118"/>
    <n v="3670700"/>
    <n v="118"/>
    <n v="0"/>
    <n v="119"/>
    <n v="122"/>
    <n v="123"/>
    <n v="0"/>
    <x v="2"/>
    <x v="8"/>
    <n v="0"/>
    <n v="3"/>
    <x v="0"/>
  </r>
  <r>
    <d v="2018-07-17T00:00:00"/>
    <n v="116"/>
    <n v="117"/>
    <n v="116"/>
    <n v="117"/>
    <n v="7939600"/>
    <n v="116"/>
    <n v="-1"/>
    <n v="119"/>
    <n v="121"/>
    <n v="123"/>
    <n v="1"/>
    <x v="2"/>
    <x v="8"/>
    <n v="1"/>
    <n v="3"/>
    <x v="0"/>
  </r>
  <r>
    <d v="2018-07-18T00:00:00"/>
    <n v="116"/>
    <n v="116"/>
    <n v="116"/>
    <n v="116"/>
    <n v="5391800"/>
    <n v="116"/>
    <n v="0"/>
    <n v="119"/>
    <n v="121"/>
    <n v="123"/>
    <n v="1"/>
    <x v="2"/>
    <x v="8"/>
    <n v="2"/>
    <n v="3"/>
    <x v="0"/>
  </r>
  <r>
    <d v="2018-07-19T00:00:00"/>
    <n v="116"/>
    <n v="116"/>
    <n v="115"/>
    <n v="115"/>
    <n v="14227600"/>
    <n v="116"/>
    <n v="0"/>
    <n v="118"/>
    <n v="121"/>
    <n v="123"/>
    <n v="1"/>
    <x v="2"/>
    <x v="8"/>
    <n v="3"/>
    <n v="3"/>
    <x v="0"/>
  </r>
  <r>
    <d v="2018-07-20T00:00:00"/>
    <n v="117"/>
    <n v="117"/>
    <n v="116"/>
    <n v="116"/>
    <n v="7892000"/>
    <n v="117"/>
    <n v="1"/>
    <n v="118"/>
    <n v="121"/>
    <n v="123"/>
    <n v="1"/>
    <x v="2"/>
    <x v="8"/>
    <n v="4"/>
    <n v="3"/>
    <x v="0"/>
  </r>
  <r>
    <d v="2018-07-23T00:00:00"/>
    <n v="116"/>
    <n v="116"/>
    <n v="116"/>
    <n v="116"/>
    <n v="6247100"/>
    <n v="116"/>
    <n v="0"/>
    <n v="118"/>
    <n v="121"/>
    <n v="123"/>
    <n v="1"/>
    <x v="2"/>
    <x v="8"/>
    <n v="0"/>
    <n v="3"/>
    <x v="0"/>
  </r>
  <r>
    <d v="2018-07-24T00:00:00"/>
    <n v="116"/>
    <n v="116"/>
    <n v="116"/>
    <n v="116"/>
    <n v="4801000"/>
    <n v="116"/>
    <n v="0"/>
    <n v="118"/>
    <n v="121"/>
    <n v="123"/>
    <n v="1"/>
    <x v="2"/>
    <x v="8"/>
    <n v="1"/>
    <n v="3"/>
    <x v="0"/>
  </r>
  <r>
    <d v="2018-07-25T00:00:00"/>
    <n v="117"/>
    <n v="117"/>
    <n v="116"/>
    <n v="117"/>
    <n v="5479600"/>
    <n v="117"/>
    <n v="1"/>
    <n v="118"/>
    <n v="120"/>
    <n v="123"/>
    <n v="1"/>
    <x v="2"/>
    <x v="8"/>
    <n v="2"/>
    <n v="3"/>
    <x v="0"/>
  </r>
  <r>
    <d v="2018-07-26T00:00:00"/>
    <n v="116"/>
    <n v="117"/>
    <n v="116"/>
    <n v="116"/>
    <n v="6382700"/>
    <n v="116"/>
    <n v="-1"/>
    <n v="117"/>
    <n v="120"/>
    <n v="123"/>
    <n v="1"/>
    <x v="2"/>
    <x v="8"/>
    <n v="3"/>
    <n v="3"/>
    <x v="0"/>
  </r>
  <r>
    <d v="2018-07-27T00:00:00"/>
    <n v="116"/>
    <n v="116"/>
    <n v="116"/>
    <n v="116"/>
    <n v="5242000"/>
    <n v="116"/>
    <n v="0"/>
    <n v="117"/>
    <n v="120"/>
    <n v="123"/>
    <n v="1"/>
    <x v="2"/>
    <x v="8"/>
    <n v="4"/>
    <n v="3"/>
    <x v="0"/>
  </r>
  <r>
    <d v="2018-07-30T00:00:00"/>
    <n v="116"/>
    <n v="116"/>
    <n v="116"/>
    <n v="116"/>
    <n v="4157400"/>
    <n v="116"/>
    <n v="0"/>
    <n v="117"/>
    <n v="120"/>
    <n v="123"/>
    <n v="1"/>
    <x v="2"/>
    <x v="8"/>
    <n v="0"/>
    <n v="3"/>
    <x v="0"/>
  </r>
  <r>
    <d v="2018-07-31T00:00:00"/>
    <n v="116"/>
    <n v="116"/>
    <n v="115"/>
    <n v="115"/>
    <n v="5508500"/>
    <n v="116"/>
    <n v="0"/>
    <n v="117"/>
    <n v="120"/>
    <n v="123"/>
    <n v="1"/>
    <x v="2"/>
    <x v="8"/>
    <n v="1"/>
    <n v="3"/>
    <x v="0"/>
  </r>
  <r>
    <d v="2018-08-01T00:00:00"/>
    <n v="115"/>
    <n v="116"/>
    <n v="115"/>
    <n v="116"/>
    <n v="7941700"/>
    <n v="115"/>
    <n v="-1"/>
    <n v="117"/>
    <n v="120"/>
    <n v="123"/>
    <n v="1"/>
    <x v="2"/>
    <x v="9"/>
    <n v="2"/>
    <n v="3"/>
    <x v="0"/>
  </r>
  <r>
    <d v="2018-08-02T00:00:00"/>
    <n v="115"/>
    <n v="115"/>
    <n v="114"/>
    <n v="115"/>
    <n v="6204200"/>
    <n v="115"/>
    <n v="-1"/>
    <n v="117"/>
    <n v="120"/>
    <n v="123"/>
    <n v="1"/>
    <x v="2"/>
    <x v="9"/>
    <n v="3"/>
    <n v="3"/>
    <x v="0"/>
  </r>
  <r>
    <d v="2018-08-03T00:00:00"/>
    <n v="115"/>
    <n v="116"/>
    <n v="115"/>
    <n v="115"/>
    <n v="5953200"/>
    <n v="115"/>
    <n v="0"/>
    <n v="117"/>
    <n v="119"/>
    <n v="123"/>
    <n v="1"/>
    <x v="2"/>
    <x v="9"/>
    <n v="4"/>
    <n v="3"/>
    <x v="0"/>
  </r>
  <r>
    <d v="2018-08-06T00:00:00"/>
    <n v="114"/>
    <n v="115"/>
    <n v="114"/>
    <n v="115"/>
    <n v="5811600"/>
    <n v="114"/>
    <n v="-1"/>
    <n v="116"/>
    <n v="119"/>
    <n v="123"/>
    <n v="1"/>
    <x v="2"/>
    <x v="9"/>
    <n v="0"/>
    <n v="3"/>
    <x v="0"/>
  </r>
  <r>
    <d v="2018-08-07T00:00:00"/>
    <n v="115"/>
    <n v="115"/>
    <n v="114"/>
    <n v="115"/>
    <n v="5188000"/>
    <n v="115"/>
    <n v="0"/>
    <n v="116"/>
    <n v="119"/>
    <n v="123"/>
    <n v="1"/>
    <x v="2"/>
    <x v="9"/>
    <n v="1"/>
    <n v="3"/>
    <x v="0"/>
  </r>
  <r>
    <d v="2018-08-08T00:00:00"/>
    <n v="115"/>
    <n v="115"/>
    <n v="114"/>
    <n v="115"/>
    <n v="3808000"/>
    <n v="115"/>
    <n v="0"/>
    <n v="116"/>
    <n v="119"/>
    <n v="123"/>
    <n v="0"/>
    <x v="2"/>
    <x v="9"/>
    <n v="2"/>
    <n v="3"/>
    <x v="0"/>
  </r>
  <r>
    <d v="2018-08-09T00:00:00"/>
    <n v="115"/>
    <n v="115"/>
    <n v="115"/>
    <n v="115"/>
    <n v="4253000"/>
    <n v="115"/>
    <n v="0"/>
    <n v="116"/>
    <n v="119"/>
    <n v="123"/>
    <n v="0"/>
    <x v="2"/>
    <x v="9"/>
    <n v="3"/>
    <n v="3"/>
    <x v="0"/>
  </r>
  <r>
    <d v="2018-08-10T00:00:00"/>
    <n v="115"/>
    <n v="115"/>
    <n v="115"/>
    <n v="115"/>
    <n v="6757900"/>
    <n v="115"/>
    <n v="0"/>
    <n v="116"/>
    <n v="119"/>
    <n v="123"/>
    <n v="0"/>
    <x v="2"/>
    <x v="9"/>
    <n v="4"/>
    <n v="3"/>
    <x v="0"/>
  </r>
  <r>
    <d v="2018-08-13T00:00:00"/>
    <n v="113"/>
    <n v="114"/>
    <n v="113"/>
    <n v="114"/>
    <n v="9150900"/>
    <n v="113"/>
    <n v="-2"/>
    <n v="115"/>
    <n v="118"/>
    <n v="123"/>
    <n v="1"/>
    <x v="2"/>
    <x v="9"/>
    <n v="0"/>
    <n v="3"/>
    <x v="0"/>
  </r>
  <r>
    <d v="2018-08-14T00:00:00"/>
    <n v="113"/>
    <n v="113"/>
    <n v="113"/>
    <n v="113"/>
    <n v="7085900"/>
    <n v="113"/>
    <n v="0"/>
    <n v="115"/>
    <n v="118"/>
    <n v="123"/>
    <n v="1"/>
    <x v="2"/>
    <x v="9"/>
    <n v="1"/>
    <n v="3"/>
    <x v="0"/>
  </r>
  <r>
    <d v="2018-08-15T00:00:00"/>
    <n v="111"/>
    <n v="112"/>
    <n v="111"/>
    <n v="112"/>
    <n v="12398400"/>
    <n v="111"/>
    <n v="-2"/>
    <n v="115"/>
    <n v="118"/>
    <n v="123"/>
    <n v="1"/>
    <x v="2"/>
    <x v="9"/>
    <n v="2"/>
    <n v="3"/>
    <x v="0"/>
  </r>
  <r>
    <d v="2018-08-16T00:00:00"/>
    <n v="111"/>
    <n v="112"/>
    <n v="111"/>
    <n v="111"/>
    <n v="7484600"/>
    <n v="111"/>
    <n v="0"/>
    <n v="115"/>
    <n v="118"/>
    <n v="123"/>
    <n v="1"/>
    <x v="2"/>
    <x v="9"/>
    <n v="3"/>
    <n v="3"/>
    <x v="0"/>
  </r>
  <r>
    <d v="2018-08-17T00:00:00"/>
    <n v="112"/>
    <n v="112"/>
    <n v="111"/>
    <n v="112"/>
    <n v="8471000"/>
    <n v="112"/>
    <n v="1"/>
    <n v="115"/>
    <n v="117"/>
    <n v="123"/>
    <n v="1"/>
    <x v="2"/>
    <x v="9"/>
    <n v="4"/>
    <n v="3"/>
    <x v="0"/>
  </r>
  <r>
    <d v="2018-08-20T00:00:00"/>
    <n v="113"/>
    <n v="113"/>
    <n v="112"/>
    <n v="112"/>
    <n v="5313400"/>
    <n v="113"/>
    <n v="0"/>
    <n v="114"/>
    <n v="117"/>
    <n v="123"/>
    <n v="1"/>
    <x v="2"/>
    <x v="9"/>
    <n v="0"/>
    <n v="3"/>
    <x v="0"/>
  </r>
  <r>
    <d v="2018-08-21T00:00:00"/>
    <n v="113"/>
    <n v="113"/>
    <n v="112"/>
    <n v="113"/>
    <n v="5042400"/>
    <n v="113"/>
    <n v="0"/>
    <n v="114"/>
    <n v="117"/>
    <n v="122"/>
    <n v="1"/>
    <x v="2"/>
    <x v="9"/>
    <n v="1"/>
    <n v="3"/>
    <x v="0"/>
  </r>
  <r>
    <d v="2018-08-22T00:00:00"/>
    <n v="113"/>
    <n v="113"/>
    <n v="113"/>
    <n v="113"/>
    <n v="6215600"/>
    <n v="113"/>
    <n v="0"/>
    <n v="114"/>
    <n v="117"/>
    <n v="122"/>
    <n v="1"/>
    <x v="2"/>
    <x v="9"/>
    <n v="2"/>
    <n v="3"/>
    <x v="0"/>
  </r>
  <r>
    <d v="2018-08-23T00:00:00"/>
    <n v="112"/>
    <n v="113"/>
    <n v="112"/>
    <n v="113"/>
    <n v="5500100"/>
    <n v="112"/>
    <n v="-1"/>
    <n v="114"/>
    <n v="117"/>
    <n v="122"/>
    <n v="1"/>
    <x v="2"/>
    <x v="9"/>
    <n v="3"/>
    <n v="3"/>
    <x v="0"/>
  </r>
  <r>
    <d v="2018-08-24T00:00:00"/>
    <n v="114"/>
    <n v="114"/>
    <n v="113"/>
    <n v="113"/>
    <n v="9214700"/>
    <n v="114"/>
    <n v="2"/>
    <n v="114"/>
    <n v="116"/>
    <n v="122"/>
    <n v="1"/>
    <x v="2"/>
    <x v="9"/>
    <n v="4"/>
    <n v="3"/>
    <x v="0"/>
  </r>
  <r>
    <d v="2018-08-27T00:00:00"/>
    <n v="115"/>
    <n v="115"/>
    <n v="114"/>
    <n v="114"/>
    <n v="4364000"/>
    <n v="115"/>
    <n v="0"/>
    <n v="114"/>
    <n v="116"/>
    <n v="122"/>
    <n v="1"/>
    <x v="2"/>
    <x v="9"/>
    <n v="0"/>
    <n v="3"/>
    <x v="0"/>
  </r>
  <r>
    <d v="2018-08-28T00:00:00"/>
    <n v="114"/>
    <n v="115"/>
    <n v="114"/>
    <n v="115"/>
    <n v="6101400"/>
    <n v="114"/>
    <n v="-1"/>
    <n v="114"/>
    <n v="116"/>
    <n v="122"/>
    <n v="1"/>
    <x v="2"/>
    <x v="9"/>
    <n v="1"/>
    <n v="3"/>
    <x v="0"/>
  </r>
  <r>
    <d v="2018-08-29T00:00:00"/>
    <n v="114"/>
    <n v="114"/>
    <n v="114"/>
    <n v="114"/>
    <n v="5616300"/>
    <n v="114"/>
    <n v="0"/>
    <n v="114"/>
    <n v="116"/>
    <n v="122"/>
    <n v="1"/>
    <x v="2"/>
    <x v="9"/>
    <n v="2"/>
    <n v="3"/>
    <x v="0"/>
  </r>
  <r>
    <d v="2018-08-30T00:00:00"/>
    <n v="114"/>
    <n v="114"/>
    <n v="113"/>
    <n v="114"/>
    <n v="5431600"/>
    <n v="114"/>
    <n v="0"/>
    <n v="114"/>
    <n v="116"/>
    <n v="122"/>
    <n v="1"/>
    <x v="2"/>
    <x v="9"/>
    <n v="3"/>
    <n v="3"/>
    <x v="0"/>
  </r>
  <r>
    <d v="2018-08-31T00:00:00"/>
    <n v="114"/>
    <n v="114"/>
    <n v="113"/>
    <n v="114"/>
    <n v="5048700"/>
    <n v="114"/>
    <n v="0"/>
    <n v="113"/>
    <n v="116"/>
    <n v="122"/>
    <n v="1"/>
    <x v="2"/>
    <x v="9"/>
    <n v="4"/>
    <n v="3"/>
    <x v="0"/>
  </r>
  <r>
    <d v="2018-09-04T00:00:00"/>
    <n v="113"/>
    <n v="113"/>
    <n v="113"/>
    <n v="113"/>
    <n v="6617500"/>
    <n v="113"/>
    <n v="-1"/>
    <n v="113"/>
    <n v="116"/>
    <n v="122"/>
    <n v="1"/>
    <x v="2"/>
    <x v="10"/>
    <n v="1"/>
    <n v="3"/>
    <x v="0"/>
  </r>
  <r>
    <d v="2018-09-05T00:00:00"/>
    <n v="113"/>
    <n v="113"/>
    <n v="113"/>
    <n v="113"/>
    <n v="4459200"/>
    <n v="113"/>
    <n v="0"/>
    <n v="113"/>
    <n v="115"/>
    <n v="122"/>
    <n v="1"/>
    <x v="2"/>
    <x v="10"/>
    <n v="2"/>
    <n v="3"/>
    <x v="0"/>
  </r>
  <r>
    <d v="2018-09-06T00:00:00"/>
    <n v="114"/>
    <n v="114"/>
    <n v="113"/>
    <n v="114"/>
    <n v="4784700"/>
    <n v="114"/>
    <n v="0"/>
    <n v="113"/>
    <n v="115"/>
    <n v="122"/>
    <n v="1"/>
    <x v="2"/>
    <x v="10"/>
    <n v="3"/>
    <n v="3"/>
    <x v="0"/>
  </r>
  <r>
    <d v="2018-09-07T00:00:00"/>
    <n v="113"/>
    <n v="114"/>
    <n v="113"/>
    <n v="113"/>
    <n v="3714000"/>
    <n v="113"/>
    <n v="0"/>
    <n v="113"/>
    <n v="115"/>
    <n v="122"/>
    <n v="1"/>
    <x v="2"/>
    <x v="10"/>
    <n v="4"/>
    <n v="3"/>
    <x v="0"/>
  </r>
  <r>
    <d v="2018-09-10T00:00:00"/>
    <n v="113"/>
    <n v="113"/>
    <n v="113"/>
    <n v="113"/>
    <n v="2316500"/>
    <n v="113"/>
    <n v="0"/>
    <n v="113"/>
    <n v="115"/>
    <n v="122"/>
    <n v="1"/>
    <x v="2"/>
    <x v="10"/>
    <n v="0"/>
    <n v="3"/>
    <x v="0"/>
  </r>
  <r>
    <d v="2018-09-11T00:00:00"/>
    <n v="113"/>
    <n v="113"/>
    <n v="112"/>
    <n v="113"/>
    <n v="3791300"/>
    <n v="113"/>
    <n v="0"/>
    <n v="113"/>
    <n v="115"/>
    <n v="122"/>
    <n v="1"/>
    <x v="2"/>
    <x v="10"/>
    <n v="1"/>
    <n v="3"/>
    <x v="0"/>
  </r>
  <r>
    <d v="2018-09-12T00:00:00"/>
    <n v="114"/>
    <n v="114"/>
    <n v="113"/>
    <n v="113"/>
    <n v="6315900"/>
    <n v="114"/>
    <n v="1"/>
    <n v="113"/>
    <n v="115"/>
    <n v="122"/>
    <n v="1"/>
    <x v="2"/>
    <x v="10"/>
    <n v="2"/>
    <n v="3"/>
    <x v="0"/>
  </r>
  <r>
    <d v="2018-09-13T00:00:00"/>
    <n v="114"/>
    <n v="115"/>
    <n v="114"/>
    <n v="115"/>
    <n v="5635900"/>
    <n v="114"/>
    <n v="0"/>
    <n v="113"/>
    <n v="115"/>
    <n v="122"/>
    <n v="1"/>
    <x v="2"/>
    <x v="10"/>
    <n v="3"/>
    <n v="3"/>
    <x v="0"/>
  </r>
  <r>
    <d v="2018-09-14T00:00:00"/>
    <n v="113"/>
    <n v="114"/>
    <n v="113"/>
    <n v="114"/>
    <n v="5375600"/>
    <n v="113"/>
    <n v="-1"/>
    <n v="113"/>
    <n v="115"/>
    <n v="122"/>
    <n v="1"/>
    <x v="2"/>
    <x v="10"/>
    <n v="4"/>
    <n v="3"/>
    <x v="0"/>
  </r>
  <r>
    <d v="2018-09-17T00:00:00"/>
    <n v="114"/>
    <n v="114"/>
    <n v="114"/>
    <n v="114"/>
    <n v="4727300"/>
    <n v="114"/>
    <n v="1"/>
    <n v="113"/>
    <n v="115"/>
    <n v="122"/>
    <n v="1"/>
    <x v="2"/>
    <x v="10"/>
    <n v="0"/>
    <n v="3"/>
    <x v="0"/>
  </r>
  <r>
    <d v="2018-09-18T00:00:00"/>
    <n v="113"/>
    <n v="114"/>
    <n v="113"/>
    <n v="114"/>
    <n v="4737800"/>
    <n v="113"/>
    <n v="0"/>
    <n v="113"/>
    <n v="115"/>
    <n v="122"/>
    <n v="1"/>
    <x v="2"/>
    <x v="10"/>
    <n v="1"/>
    <n v="3"/>
    <x v="0"/>
  </r>
  <r>
    <d v="2018-09-19T00:00:00"/>
    <n v="114"/>
    <n v="114"/>
    <n v="114"/>
    <n v="114"/>
    <n v="4223200"/>
    <n v="114"/>
    <n v="0"/>
    <n v="114"/>
    <n v="114"/>
    <n v="122"/>
    <n v="1"/>
    <x v="2"/>
    <x v="10"/>
    <n v="2"/>
    <n v="3"/>
    <x v="0"/>
  </r>
  <r>
    <d v="2018-09-20T00:00:00"/>
    <n v="114"/>
    <n v="114"/>
    <n v="114"/>
    <n v="114"/>
    <n v="4384200"/>
    <n v="114"/>
    <n v="0"/>
    <n v="114"/>
    <n v="114"/>
    <n v="122"/>
    <n v="1"/>
    <x v="2"/>
    <x v="10"/>
    <n v="3"/>
    <n v="3"/>
    <x v="0"/>
  </r>
  <r>
    <d v="2018-09-21T00:00:00"/>
    <n v="113"/>
    <n v="114"/>
    <n v="113"/>
    <n v="113"/>
    <n v="6831400"/>
    <n v="113"/>
    <n v="-1"/>
    <n v="114"/>
    <n v="114"/>
    <n v="122"/>
    <n v="1"/>
    <x v="2"/>
    <x v="10"/>
    <n v="4"/>
    <n v="3"/>
    <x v="0"/>
  </r>
  <r>
    <d v="2018-09-24T00:00:00"/>
    <n v="113"/>
    <n v="114"/>
    <n v="113"/>
    <n v="114"/>
    <n v="4435300"/>
    <n v="113"/>
    <n v="0"/>
    <n v="114"/>
    <n v="114"/>
    <n v="122"/>
    <n v="0"/>
    <x v="2"/>
    <x v="10"/>
    <n v="0"/>
    <n v="3"/>
    <x v="0"/>
  </r>
  <r>
    <d v="2018-09-25T00:00:00"/>
    <n v="114"/>
    <n v="114"/>
    <n v="114"/>
    <n v="114"/>
    <n v="3004800"/>
    <n v="114"/>
    <n v="0"/>
    <n v="114"/>
    <n v="114"/>
    <n v="122"/>
    <n v="0"/>
    <x v="2"/>
    <x v="10"/>
    <n v="1"/>
    <n v="3"/>
    <x v="0"/>
  </r>
  <r>
    <d v="2018-09-26T00:00:00"/>
    <n v="113"/>
    <n v="114"/>
    <n v="113"/>
    <n v="113"/>
    <n v="8297300"/>
    <n v="113"/>
    <n v="-1"/>
    <n v="114"/>
    <n v="114"/>
    <n v="122"/>
    <n v="0"/>
    <x v="2"/>
    <x v="10"/>
    <n v="2"/>
    <n v="3"/>
    <x v="0"/>
  </r>
  <r>
    <d v="2018-09-27T00:00:00"/>
    <n v="112"/>
    <n v="112"/>
    <n v="112"/>
    <n v="112"/>
    <n v="7683400"/>
    <n v="112"/>
    <n v="-1"/>
    <n v="113"/>
    <n v="114"/>
    <n v="121"/>
    <n v="0"/>
    <x v="2"/>
    <x v="10"/>
    <n v="3"/>
    <n v="3"/>
    <x v="0"/>
  </r>
  <r>
    <d v="2018-09-28T00:00:00"/>
    <n v="113"/>
    <n v="113"/>
    <n v="112"/>
    <n v="112"/>
    <n v="6020600"/>
    <n v="113"/>
    <n v="1"/>
    <n v="113"/>
    <n v="114"/>
    <n v="121"/>
    <n v="0"/>
    <x v="2"/>
    <x v="10"/>
    <n v="4"/>
    <n v="3"/>
    <x v="0"/>
  </r>
  <r>
    <d v="2018-10-01T00:00:00"/>
    <n v="113"/>
    <n v="113"/>
    <n v="112"/>
    <n v="112"/>
    <n v="3892600"/>
    <n v="113"/>
    <n v="0"/>
    <n v="113"/>
    <n v="114"/>
    <n v="121"/>
    <n v="0"/>
    <x v="2"/>
    <x v="11"/>
    <n v="0"/>
    <n v="4"/>
    <x v="0"/>
  </r>
  <r>
    <d v="2018-10-02T00:00:00"/>
    <n v="114"/>
    <n v="114"/>
    <n v="114"/>
    <n v="114"/>
    <n v="10776700"/>
    <n v="114"/>
    <n v="1"/>
    <n v="113"/>
    <n v="114"/>
    <n v="121"/>
    <n v="1"/>
    <x v="2"/>
    <x v="11"/>
    <n v="1"/>
    <n v="4"/>
    <x v="0"/>
  </r>
  <r>
    <d v="2018-10-03T00:00:00"/>
    <n v="113"/>
    <n v="114"/>
    <n v="113"/>
    <n v="114"/>
    <n v="6674500"/>
    <n v="113"/>
    <n v="0"/>
    <n v="113"/>
    <n v="114"/>
    <n v="121"/>
    <n v="1"/>
    <x v="2"/>
    <x v="11"/>
    <n v="2"/>
    <n v="4"/>
    <x v="0"/>
  </r>
  <r>
    <d v="2018-10-04T00:00:00"/>
    <n v="113"/>
    <n v="114"/>
    <n v="113"/>
    <n v="114"/>
    <n v="6616200"/>
    <n v="113"/>
    <n v="0"/>
    <n v="113"/>
    <n v="114"/>
    <n v="121"/>
    <n v="1"/>
    <x v="2"/>
    <x v="11"/>
    <n v="3"/>
    <n v="4"/>
    <x v="0"/>
  </r>
  <r>
    <d v="2018-10-05T00:00:00"/>
    <n v="114"/>
    <n v="114"/>
    <n v="114"/>
    <n v="114"/>
    <n v="7994400"/>
    <n v="114"/>
    <n v="0"/>
    <n v="113"/>
    <n v="114"/>
    <n v="121"/>
    <n v="1"/>
    <x v="2"/>
    <x v="11"/>
    <n v="4"/>
    <n v="4"/>
    <x v="0"/>
  </r>
  <r>
    <d v="2018-10-08T00:00:00"/>
    <n v="113"/>
    <n v="113"/>
    <n v="112"/>
    <n v="112"/>
    <n v="12111600"/>
    <n v="113"/>
    <n v="-1"/>
    <n v="113"/>
    <n v="114"/>
    <n v="121"/>
    <n v="1"/>
    <x v="2"/>
    <x v="11"/>
    <n v="0"/>
    <n v="4"/>
    <x v="0"/>
  </r>
  <r>
    <d v="2018-10-09T00:00:00"/>
    <n v="113"/>
    <n v="113"/>
    <n v="112"/>
    <n v="112"/>
    <n v="8352300"/>
    <n v="113"/>
    <n v="0"/>
    <n v="113"/>
    <n v="114"/>
    <n v="121"/>
    <n v="1"/>
    <x v="2"/>
    <x v="11"/>
    <n v="1"/>
    <n v="4"/>
    <x v="0"/>
  </r>
  <r>
    <d v="2018-10-10T00:00:00"/>
    <n v="113"/>
    <n v="113"/>
    <n v="112"/>
    <n v="112"/>
    <n v="10571300"/>
    <n v="113"/>
    <n v="0"/>
    <n v="113"/>
    <n v="113"/>
    <n v="121"/>
    <n v="1"/>
    <x v="2"/>
    <x v="11"/>
    <n v="2"/>
    <n v="4"/>
    <x v="0"/>
  </r>
  <r>
    <d v="2018-10-11T00:00:00"/>
    <n v="116"/>
    <n v="116"/>
    <n v="114"/>
    <n v="114"/>
    <n v="26810900"/>
    <n v="116"/>
    <n v="3"/>
    <n v="113"/>
    <n v="113"/>
    <n v="121"/>
    <n v="1"/>
    <x v="2"/>
    <x v="11"/>
    <n v="3"/>
    <n v="4"/>
    <x v="0"/>
  </r>
  <r>
    <d v="2018-10-12T00:00:00"/>
    <n v="115"/>
    <n v="116"/>
    <n v="115"/>
    <n v="116"/>
    <n v="12939300"/>
    <n v="115"/>
    <n v="0"/>
    <n v="113"/>
    <n v="113"/>
    <n v="121"/>
    <n v="1"/>
    <x v="2"/>
    <x v="11"/>
    <n v="4"/>
    <n v="4"/>
    <x v="0"/>
  </r>
  <r>
    <d v="2018-10-15T00:00:00"/>
    <n v="116"/>
    <n v="117"/>
    <n v="116"/>
    <n v="116"/>
    <n v="11828400"/>
    <n v="116"/>
    <n v="1"/>
    <n v="114"/>
    <n v="113"/>
    <n v="121"/>
    <n v="1"/>
    <x v="2"/>
    <x v="11"/>
    <n v="0"/>
    <n v="4"/>
    <x v="0"/>
  </r>
  <r>
    <d v="2018-10-16T00:00:00"/>
    <n v="116"/>
    <n v="117"/>
    <n v="116"/>
    <n v="116"/>
    <n v="9531800"/>
    <n v="116"/>
    <n v="0"/>
    <n v="114"/>
    <n v="114"/>
    <n v="121"/>
    <n v="1"/>
    <x v="2"/>
    <x v="11"/>
    <n v="1"/>
    <n v="4"/>
    <x v="0"/>
  </r>
  <r>
    <d v="2018-10-17T00:00:00"/>
    <n v="116"/>
    <n v="116"/>
    <n v="116"/>
    <n v="116"/>
    <n v="7078600"/>
    <n v="116"/>
    <n v="0"/>
    <n v="114"/>
    <n v="114"/>
    <n v="121"/>
    <n v="1"/>
    <x v="2"/>
    <x v="11"/>
    <n v="2"/>
    <n v="4"/>
    <x v="0"/>
  </r>
  <r>
    <d v="2018-10-18T00:00:00"/>
    <n v="116"/>
    <n v="116"/>
    <n v="116"/>
    <n v="116"/>
    <n v="7964100"/>
    <n v="116"/>
    <n v="0"/>
    <n v="114"/>
    <n v="114"/>
    <n v="121"/>
    <n v="1"/>
    <x v="2"/>
    <x v="11"/>
    <n v="3"/>
    <n v="4"/>
    <x v="0"/>
  </r>
  <r>
    <d v="2018-10-19T00:00:00"/>
    <n v="116"/>
    <n v="116"/>
    <n v="116"/>
    <n v="116"/>
    <n v="7453900"/>
    <n v="116"/>
    <n v="0"/>
    <n v="114"/>
    <n v="114"/>
    <n v="121"/>
    <n v="1"/>
    <x v="2"/>
    <x v="11"/>
    <n v="4"/>
    <n v="4"/>
    <x v="0"/>
  </r>
  <r>
    <d v="2018-10-22T00:00:00"/>
    <n v="116"/>
    <n v="116"/>
    <n v="115"/>
    <n v="116"/>
    <n v="5200500"/>
    <n v="116"/>
    <n v="0"/>
    <n v="114"/>
    <n v="114"/>
    <n v="121"/>
    <n v="1"/>
    <x v="2"/>
    <x v="11"/>
    <n v="0"/>
    <n v="4"/>
    <x v="0"/>
  </r>
  <r>
    <d v="2018-10-23T00:00:00"/>
    <n v="116"/>
    <n v="117"/>
    <n v="116"/>
    <n v="117"/>
    <n v="12704200"/>
    <n v="116"/>
    <n v="1"/>
    <n v="114"/>
    <n v="114"/>
    <n v="121"/>
    <n v="1"/>
    <x v="2"/>
    <x v="11"/>
    <n v="1"/>
    <n v="4"/>
    <x v="0"/>
  </r>
  <r>
    <d v="2018-10-24T00:00:00"/>
    <n v="117"/>
    <n v="117"/>
    <n v="116"/>
    <n v="116"/>
    <n v="8563300"/>
    <n v="117"/>
    <n v="0"/>
    <n v="114"/>
    <n v="114"/>
    <n v="121"/>
    <n v="1"/>
    <x v="2"/>
    <x v="11"/>
    <n v="2"/>
    <n v="4"/>
    <x v="0"/>
  </r>
  <r>
    <d v="2018-10-25T00:00:00"/>
    <n v="116"/>
    <n v="117"/>
    <n v="116"/>
    <n v="117"/>
    <n v="8303500"/>
    <n v="116"/>
    <n v="0"/>
    <n v="115"/>
    <n v="114"/>
    <n v="121"/>
    <n v="1"/>
    <x v="2"/>
    <x v="11"/>
    <n v="3"/>
    <n v="4"/>
    <x v="0"/>
  </r>
  <r>
    <d v="2018-10-26T00:00:00"/>
    <n v="117"/>
    <n v="118"/>
    <n v="116"/>
    <n v="117"/>
    <n v="15733100"/>
    <n v="117"/>
    <n v="0"/>
    <n v="115"/>
    <n v="114"/>
    <n v="121"/>
    <n v="1"/>
    <x v="2"/>
    <x v="11"/>
    <n v="4"/>
    <n v="4"/>
    <x v="0"/>
  </r>
  <r>
    <d v="2018-10-29T00:00:00"/>
    <n v="116"/>
    <n v="117"/>
    <n v="116"/>
    <n v="116"/>
    <n v="8732500"/>
    <n v="116"/>
    <n v="0"/>
    <n v="115"/>
    <n v="114"/>
    <n v="121"/>
    <n v="1"/>
    <x v="2"/>
    <x v="11"/>
    <n v="0"/>
    <n v="4"/>
    <x v="0"/>
  </r>
  <r>
    <d v="2018-10-30T00:00:00"/>
    <n v="116"/>
    <n v="116"/>
    <n v="116"/>
    <n v="116"/>
    <n v="7233300"/>
    <n v="116"/>
    <n v="0"/>
    <n v="115"/>
    <n v="114"/>
    <n v="121"/>
    <n v="1"/>
    <x v="2"/>
    <x v="11"/>
    <n v="1"/>
    <n v="4"/>
    <x v="0"/>
  </r>
  <r>
    <d v="2018-10-31T00:00:00"/>
    <n v="115"/>
    <n v="115"/>
    <n v="115"/>
    <n v="115"/>
    <n v="11409300"/>
    <n v="115"/>
    <n v="-1"/>
    <n v="115"/>
    <n v="114"/>
    <n v="121"/>
    <n v="1"/>
    <x v="2"/>
    <x v="11"/>
    <n v="2"/>
    <n v="4"/>
    <x v="0"/>
  </r>
  <r>
    <d v="2018-11-01T00:00:00"/>
    <n v="117"/>
    <n v="117"/>
    <n v="116"/>
    <n v="116"/>
    <n v="13662900"/>
    <n v="117"/>
    <n v="1"/>
    <n v="115"/>
    <n v="114"/>
    <n v="120"/>
    <n v="1"/>
    <x v="2"/>
    <x v="0"/>
    <n v="3"/>
    <n v="4"/>
    <x v="0"/>
  </r>
  <r>
    <d v="2018-11-02T00:00:00"/>
    <n v="117"/>
    <n v="117"/>
    <n v="116"/>
    <n v="117"/>
    <n v="8796900"/>
    <n v="117"/>
    <n v="0"/>
    <n v="116"/>
    <n v="114"/>
    <n v="120"/>
    <n v="1"/>
    <x v="2"/>
    <x v="0"/>
    <n v="4"/>
    <n v="4"/>
    <x v="0"/>
  </r>
  <r>
    <d v="2018-11-05T00:00:00"/>
    <n v="116"/>
    <n v="117"/>
    <n v="116"/>
    <n v="116"/>
    <n v="6291500"/>
    <n v="116"/>
    <n v="0"/>
    <n v="116"/>
    <n v="114"/>
    <n v="120"/>
    <n v="1"/>
    <x v="2"/>
    <x v="0"/>
    <n v="0"/>
    <n v="4"/>
    <x v="0"/>
  </r>
  <r>
    <d v="2018-11-06T00:00:00"/>
    <n v="116"/>
    <n v="117"/>
    <n v="116"/>
    <n v="116"/>
    <n v="7270800"/>
    <n v="116"/>
    <n v="0"/>
    <n v="116"/>
    <n v="114"/>
    <n v="120"/>
    <n v="1"/>
    <x v="2"/>
    <x v="0"/>
    <n v="1"/>
    <n v="4"/>
    <x v="0"/>
  </r>
  <r>
    <d v="2018-11-07T00:00:00"/>
    <n v="116"/>
    <n v="116"/>
    <n v="116"/>
    <n v="116"/>
    <n v="8392100"/>
    <n v="116"/>
    <n v="0"/>
    <n v="116"/>
    <n v="114"/>
    <n v="120"/>
    <n v="1"/>
    <x v="2"/>
    <x v="0"/>
    <n v="2"/>
    <n v="4"/>
    <x v="0"/>
  </r>
  <r>
    <d v="2018-11-08T00:00:00"/>
    <n v="116"/>
    <n v="116"/>
    <n v="116"/>
    <n v="116"/>
    <n v="7638800"/>
    <n v="116"/>
    <n v="0"/>
    <n v="116"/>
    <n v="114"/>
    <n v="120"/>
    <n v="0"/>
    <x v="2"/>
    <x v="0"/>
    <n v="3"/>
    <n v="4"/>
    <x v="0"/>
  </r>
  <r>
    <d v="2018-11-09T00:00:00"/>
    <n v="114"/>
    <n v="115"/>
    <n v="114"/>
    <n v="115"/>
    <n v="14159200"/>
    <n v="114"/>
    <n v="-1"/>
    <n v="116"/>
    <n v="114"/>
    <n v="120"/>
    <n v="1"/>
    <x v="2"/>
    <x v="0"/>
    <n v="4"/>
    <n v="4"/>
    <x v="0"/>
  </r>
  <r>
    <d v="2018-11-12T00:00:00"/>
    <n v="114"/>
    <n v="114"/>
    <n v="114"/>
    <n v="114"/>
    <n v="7498600"/>
    <n v="114"/>
    <n v="-1"/>
    <n v="116"/>
    <n v="114"/>
    <n v="120"/>
    <n v="0"/>
    <x v="2"/>
    <x v="0"/>
    <n v="0"/>
    <n v="4"/>
    <x v="0"/>
  </r>
  <r>
    <d v="2018-11-13T00:00:00"/>
    <n v="114"/>
    <n v="114"/>
    <n v="113"/>
    <n v="114"/>
    <n v="9309000"/>
    <n v="114"/>
    <n v="0"/>
    <n v="116"/>
    <n v="115"/>
    <n v="120"/>
    <n v="0"/>
    <x v="2"/>
    <x v="0"/>
    <n v="1"/>
    <n v="4"/>
    <x v="0"/>
  </r>
  <r>
    <d v="2018-11-14T00:00:00"/>
    <n v="115"/>
    <n v="115"/>
    <n v="113"/>
    <n v="114"/>
    <n v="13950200"/>
    <n v="115"/>
    <n v="1"/>
    <n v="116"/>
    <n v="115"/>
    <n v="120"/>
    <n v="1"/>
    <x v="2"/>
    <x v="0"/>
    <n v="2"/>
    <n v="4"/>
    <x v="0"/>
  </r>
  <r>
    <d v="2018-11-15T00:00:00"/>
    <n v="115"/>
    <n v="115"/>
    <n v="115"/>
    <n v="115"/>
    <n v="8910600"/>
    <n v="115"/>
    <n v="0"/>
    <n v="116"/>
    <n v="115"/>
    <n v="120"/>
    <n v="1"/>
    <x v="2"/>
    <x v="0"/>
    <n v="3"/>
    <n v="4"/>
    <x v="0"/>
  </r>
  <r>
    <d v="2018-11-16T00:00:00"/>
    <n v="116"/>
    <n v="116"/>
    <n v="115"/>
    <n v="116"/>
    <n v="8577000"/>
    <n v="116"/>
    <n v="1"/>
    <n v="116"/>
    <n v="115"/>
    <n v="120"/>
    <n v="1"/>
    <x v="2"/>
    <x v="0"/>
    <n v="4"/>
    <n v="4"/>
    <x v="0"/>
  </r>
  <r>
    <d v="2018-11-19T00:00:00"/>
    <n v="116"/>
    <n v="116"/>
    <n v="115"/>
    <n v="115"/>
    <n v="8508300"/>
    <n v="116"/>
    <n v="0"/>
    <n v="116"/>
    <n v="115"/>
    <n v="120"/>
    <n v="1"/>
    <x v="2"/>
    <x v="0"/>
    <n v="0"/>
    <n v="4"/>
    <x v="0"/>
  </r>
  <r>
    <d v="2018-11-20T00:00:00"/>
    <n v="116"/>
    <n v="116"/>
    <n v="115"/>
    <n v="116"/>
    <n v="9075100"/>
    <n v="116"/>
    <n v="0"/>
    <n v="116"/>
    <n v="115"/>
    <n v="120"/>
    <n v="1"/>
    <x v="2"/>
    <x v="0"/>
    <n v="1"/>
    <n v="4"/>
    <x v="0"/>
  </r>
  <r>
    <d v="2018-11-21T00:00:00"/>
    <n v="116"/>
    <n v="116"/>
    <n v="116"/>
    <n v="116"/>
    <n v="8834200"/>
    <n v="116"/>
    <n v="0"/>
    <n v="116"/>
    <n v="115"/>
    <n v="120"/>
    <n v="1"/>
    <x v="2"/>
    <x v="0"/>
    <n v="2"/>
    <n v="4"/>
    <x v="0"/>
  </r>
  <r>
    <d v="2018-11-23T00:00:00"/>
    <n v="116"/>
    <n v="116"/>
    <n v="116"/>
    <n v="116"/>
    <n v="3726600"/>
    <n v="116"/>
    <n v="0"/>
    <n v="116"/>
    <n v="115"/>
    <n v="120"/>
    <n v="1"/>
    <x v="2"/>
    <x v="0"/>
    <n v="4"/>
    <n v="4"/>
    <x v="0"/>
  </r>
  <r>
    <d v="2018-11-26T00:00:00"/>
    <n v="116"/>
    <n v="116"/>
    <n v="116"/>
    <n v="116"/>
    <n v="4018600"/>
    <n v="116"/>
    <n v="0"/>
    <n v="116"/>
    <n v="115"/>
    <n v="120"/>
    <n v="1"/>
    <x v="2"/>
    <x v="0"/>
    <n v="0"/>
    <n v="4"/>
    <x v="0"/>
  </r>
  <r>
    <d v="2018-11-27T00:00:00"/>
    <n v="115"/>
    <n v="116"/>
    <n v="115"/>
    <n v="116"/>
    <n v="9671100"/>
    <n v="115"/>
    <n v="-1"/>
    <n v="115"/>
    <n v="115"/>
    <n v="120"/>
    <n v="1"/>
    <x v="2"/>
    <x v="0"/>
    <n v="1"/>
    <n v="4"/>
    <x v="0"/>
  </r>
  <r>
    <d v="2018-11-28T00:00:00"/>
    <n v="115"/>
    <n v="116"/>
    <n v="115"/>
    <n v="115"/>
    <n v="13788800"/>
    <n v="115"/>
    <n v="0"/>
    <n v="115"/>
    <n v="115"/>
    <n v="119"/>
    <n v="1"/>
    <x v="2"/>
    <x v="0"/>
    <n v="2"/>
    <n v="4"/>
    <x v="0"/>
  </r>
  <r>
    <d v="2018-11-29T00:00:00"/>
    <n v="116"/>
    <n v="116"/>
    <n v="116"/>
    <n v="116"/>
    <n v="6479300"/>
    <n v="116"/>
    <n v="0"/>
    <n v="115"/>
    <n v="115"/>
    <n v="119"/>
    <n v="1"/>
    <x v="2"/>
    <x v="0"/>
    <n v="3"/>
    <n v="4"/>
    <x v="0"/>
  </r>
  <r>
    <d v="2018-11-30T00:00:00"/>
    <n v="116"/>
    <n v="116"/>
    <n v="115"/>
    <n v="115"/>
    <n v="8169600"/>
    <n v="116"/>
    <n v="0"/>
    <n v="115"/>
    <n v="115"/>
    <n v="119"/>
    <n v="0"/>
    <x v="2"/>
    <x v="0"/>
    <n v="4"/>
    <n v="4"/>
    <x v="0"/>
  </r>
  <r>
    <d v="2018-12-03T00:00:00"/>
    <n v="116"/>
    <n v="117"/>
    <n v="116"/>
    <n v="117"/>
    <n v="8469500"/>
    <n v="116"/>
    <n v="1"/>
    <n v="115"/>
    <n v="115"/>
    <n v="119"/>
    <n v="0"/>
    <x v="2"/>
    <x v="1"/>
    <n v="0"/>
    <n v="4"/>
    <x v="0"/>
  </r>
  <r>
    <d v="2018-12-04T00:00:00"/>
    <n v="117"/>
    <n v="117"/>
    <n v="117"/>
    <n v="117"/>
    <n v="7186100"/>
    <n v="117"/>
    <n v="1"/>
    <n v="115"/>
    <n v="115"/>
    <n v="119"/>
    <n v="0"/>
    <x v="2"/>
    <x v="1"/>
    <n v="1"/>
    <n v="4"/>
    <x v="0"/>
  </r>
  <r>
    <d v="2018-12-06T00:00:00"/>
    <n v="117"/>
    <n v="118"/>
    <n v="117"/>
    <n v="117"/>
    <n v="9267600"/>
    <n v="117"/>
    <n v="0"/>
    <n v="115"/>
    <n v="115"/>
    <n v="119"/>
    <n v="0"/>
    <x v="2"/>
    <x v="1"/>
    <n v="3"/>
    <n v="4"/>
    <x v="0"/>
  </r>
  <r>
    <d v="2018-12-07T00:00:00"/>
    <n v="118"/>
    <n v="118"/>
    <n v="118"/>
    <n v="118"/>
    <n v="10402900"/>
    <n v="118"/>
    <n v="1"/>
    <n v="116"/>
    <n v="115"/>
    <n v="119"/>
    <n v="1"/>
    <x v="2"/>
    <x v="1"/>
    <n v="4"/>
    <n v="4"/>
    <x v="0"/>
  </r>
  <r>
    <d v="2018-12-10T00:00:00"/>
    <n v="118"/>
    <n v="118"/>
    <n v="117"/>
    <n v="118"/>
    <n v="8117900"/>
    <n v="118"/>
    <n v="0"/>
    <n v="116"/>
    <n v="115"/>
    <n v="119"/>
    <n v="1"/>
    <x v="2"/>
    <x v="1"/>
    <n v="0"/>
    <n v="4"/>
    <x v="0"/>
  </r>
  <r>
    <d v="2018-12-11T00:00:00"/>
    <n v="118"/>
    <n v="118"/>
    <n v="117"/>
    <n v="118"/>
    <n v="6395400"/>
    <n v="118"/>
    <n v="0"/>
    <n v="116"/>
    <n v="115"/>
    <n v="119"/>
    <n v="0"/>
    <x v="2"/>
    <x v="1"/>
    <n v="1"/>
    <n v="4"/>
    <x v="0"/>
  </r>
  <r>
    <d v="2018-12-12T00:00:00"/>
    <n v="118"/>
    <n v="118"/>
    <n v="118"/>
    <n v="118"/>
    <n v="4136800"/>
    <n v="118"/>
    <n v="0"/>
    <n v="116"/>
    <n v="116"/>
    <n v="119"/>
    <n v="0"/>
    <x v="2"/>
    <x v="1"/>
    <n v="2"/>
    <n v="4"/>
    <x v="0"/>
  </r>
  <r>
    <d v="2018-12-13T00:00:00"/>
    <n v="118"/>
    <n v="118"/>
    <n v="117"/>
    <n v="118"/>
    <n v="4131800"/>
    <n v="118"/>
    <n v="0"/>
    <n v="116"/>
    <n v="116"/>
    <n v="119"/>
    <n v="0"/>
    <x v="2"/>
    <x v="1"/>
    <n v="3"/>
    <n v="4"/>
    <x v="0"/>
  </r>
  <r>
    <d v="2018-12-14T00:00:00"/>
    <n v="117"/>
    <n v="117"/>
    <n v="117"/>
    <n v="117"/>
    <n v="7501700"/>
    <n v="117"/>
    <n v="0"/>
    <n v="116"/>
    <n v="116"/>
    <n v="119"/>
    <n v="0"/>
    <x v="2"/>
    <x v="1"/>
    <n v="4"/>
    <n v="4"/>
    <x v="0"/>
  </r>
  <r>
    <d v="2018-12-17T00:00:00"/>
    <n v="118"/>
    <n v="118"/>
    <n v="117"/>
    <n v="117"/>
    <n v="8454900"/>
    <n v="118"/>
    <n v="1"/>
    <n v="117"/>
    <n v="116"/>
    <n v="119"/>
    <n v="0"/>
    <x v="2"/>
    <x v="1"/>
    <n v="0"/>
    <n v="4"/>
    <x v="0"/>
  </r>
  <r>
    <d v="2018-12-18T00:00:00"/>
    <n v="118"/>
    <n v="118"/>
    <n v="118"/>
    <n v="118"/>
    <n v="7542900"/>
    <n v="118"/>
    <n v="0"/>
    <n v="117"/>
    <n v="116"/>
    <n v="119"/>
    <n v="0"/>
    <x v="2"/>
    <x v="1"/>
    <n v="1"/>
    <n v="4"/>
    <x v="0"/>
  </r>
  <r>
    <d v="2018-12-19T00:00:00"/>
    <n v="117"/>
    <n v="119"/>
    <n v="117"/>
    <n v="118"/>
    <n v="13827500"/>
    <n v="117"/>
    <n v="-1"/>
    <n v="117"/>
    <n v="116"/>
    <n v="119"/>
    <n v="0"/>
    <x v="2"/>
    <x v="1"/>
    <n v="2"/>
    <n v="4"/>
    <x v="0"/>
  </r>
  <r>
    <d v="2018-12-20T00:00:00"/>
    <n v="119"/>
    <n v="120"/>
    <n v="119"/>
    <n v="119"/>
    <n v="18615100"/>
    <n v="119"/>
    <n v="2"/>
    <n v="117"/>
    <n v="116"/>
    <n v="119"/>
    <n v="1"/>
    <x v="2"/>
    <x v="1"/>
    <n v="3"/>
    <n v="4"/>
    <x v="0"/>
  </r>
  <r>
    <d v="2018-12-21T00:00:00"/>
    <n v="119"/>
    <n v="119"/>
    <n v="119"/>
    <n v="119"/>
    <n v="13629800"/>
    <n v="119"/>
    <n v="0"/>
    <n v="117"/>
    <n v="116"/>
    <n v="119"/>
    <n v="1"/>
    <x v="2"/>
    <x v="1"/>
    <n v="4"/>
    <n v="4"/>
    <x v="0"/>
  </r>
  <r>
    <d v="2018-12-24T00:00:00"/>
    <n v="120"/>
    <n v="120"/>
    <n v="120"/>
    <n v="120"/>
    <n v="9736400"/>
    <n v="120"/>
    <n v="1"/>
    <n v="117"/>
    <n v="116"/>
    <n v="119"/>
    <n v="1"/>
    <x v="2"/>
    <x v="1"/>
    <n v="0"/>
    <n v="4"/>
    <x v="0"/>
  </r>
  <r>
    <d v="2018-12-26T00:00:00"/>
    <n v="120"/>
    <n v="121"/>
    <n v="120"/>
    <n v="121"/>
    <n v="14293500"/>
    <n v="120"/>
    <n v="0"/>
    <n v="117"/>
    <n v="116"/>
    <n v="119"/>
    <n v="1"/>
    <x v="2"/>
    <x v="1"/>
    <n v="2"/>
    <n v="4"/>
    <x v="0"/>
  </r>
  <r>
    <d v="2018-12-27T00:00:00"/>
    <n v="121"/>
    <n v="121"/>
    <n v="120"/>
    <n v="121"/>
    <n v="11874400"/>
    <n v="121"/>
    <n v="1"/>
    <n v="118"/>
    <n v="117"/>
    <n v="119"/>
    <n v="1"/>
    <x v="2"/>
    <x v="1"/>
    <n v="3"/>
    <n v="4"/>
    <x v="0"/>
  </r>
  <r>
    <d v="2018-12-28T00:00:00"/>
    <n v="121"/>
    <n v="121"/>
    <n v="121"/>
    <n v="121"/>
    <n v="6864700"/>
    <n v="121"/>
    <n v="0"/>
    <n v="118"/>
    <n v="117"/>
    <n v="119"/>
    <n v="1"/>
    <x v="2"/>
    <x v="1"/>
    <n v="4"/>
    <n v="4"/>
    <x v="0"/>
  </r>
  <r>
    <d v="2018-12-31T00:00:00"/>
    <n v="121"/>
    <n v="121"/>
    <n v="121"/>
    <n v="121"/>
    <n v="8449400"/>
    <n v="121"/>
    <n v="0"/>
    <n v="118"/>
    <n v="117"/>
    <n v="119"/>
    <n v="1"/>
    <x v="2"/>
    <x v="1"/>
    <n v="0"/>
    <n v="4"/>
    <x v="0"/>
  </r>
  <r>
    <d v="2019-01-02T00:00:00"/>
    <n v="121"/>
    <n v="122"/>
    <n v="121"/>
    <n v="121"/>
    <n v="12776200"/>
    <n v="121"/>
    <n v="0"/>
    <n v="119"/>
    <n v="117"/>
    <n v="119"/>
    <n v="1"/>
    <x v="3"/>
    <x v="2"/>
    <n v="2"/>
    <n v="1"/>
    <x v="0"/>
  </r>
  <r>
    <d v="2019-01-03T00:00:00"/>
    <n v="122"/>
    <n v="122"/>
    <n v="122"/>
    <n v="122"/>
    <n v="15440800"/>
    <n v="122"/>
    <n v="1"/>
    <n v="119"/>
    <n v="117"/>
    <n v="119"/>
    <n v="1"/>
    <x v="3"/>
    <x v="2"/>
    <n v="3"/>
    <n v="1"/>
    <x v="0"/>
  </r>
  <r>
    <d v="2019-01-04T00:00:00"/>
    <n v="121"/>
    <n v="122"/>
    <n v="121"/>
    <n v="121"/>
    <n v="13334000"/>
    <n v="121"/>
    <n v="-1"/>
    <n v="119"/>
    <n v="117"/>
    <n v="119"/>
    <n v="1"/>
    <x v="3"/>
    <x v="2"/>
    <n v="4"/>
    <n v="1"/>
    <x v="0"/>
  </r>
  <r>
    <d v="2019-01-07T00:00:00"/>
    <n v="122"/>
    <n v="122"/>
    <n v="122"/>
    <n v="122"/>
    <n v="7473600"/>
    <n v="122"/>
    <n v="0"/>
    <n v="119"/>
    <n v="117"/>
    <n v="119"/>
    <n v="1"/>
    <x v="3"/>
    <x v="2"/>
    <n v="0"/>
    <n v="1"/>
    <x v="0"/>
  </r>
  <r>
    <d v="2019-01-08T00:00:00"/>
    <n v="122"/>
    <n v="122"/>
    <n v="121"/>
    <n v="121"/>
    <n v="7643100"/>
    <n v="122"/>
    <n v="0"/>
    <n v="120"/>
    <n v="117"/>
    <n v="119"/>
    <n v="1"/>
    <x v="3"/>
    <x v="2"/>
    <n v="1"/>
    <n v="1"/>
    <x v="0"/>
  </r>
  <r>
    <d v="2019-01-09T00:00:00"/>
    <n v="122"/>
    <n v="122"/>
    <n v="121"/>
    <n v="121"/>
    <n v="10555900"/>
    <n v="122"/>
    <n v="1"/>
    <n v="120"/>
    <n v="117"/>
    <n v="119"/>
    <n v="1"/>
    <x v="3"/>
    <x v="2"/>
    <n v="2"/>
    <n v="1"/>
    <x v="0"/>
  </r>
  <r>
    <d v="2019-01-10T00:00:00"/>
    <n v="122"/>
    <n v="122"/>
    <n v="122"/>
    <n v="122"/>
    <n v="6672000"/>
    <n v="122"/>
    <n v="-1"/>
    <n v="120"/>
    <n v="117"/>
    <n v="119"/>
    <n v="1"/>
    <x v="3"/>
    <x v="2"/>
    <n v="3"/>
    <n v="1"/>
    <x v="0"/>
  </r>
  <r>
    <d v="2019-01-11T00:00:00"/>
    <n v="122"/>
    <n v="122"/>
    <n v="122"/>
    <n v="122"/>
    <n v="8622400"/>
    <n v="122"/>
    <n v="0"/>
    <n v="120"/>
    <n v="118"/>
    <n v="118"/>
    <n v="1"/>
    <x v="3"/>
    <x v="2"/>
    <n v="4"/>
    <n v="1"/>
    <x v="0"/>
  </r>
  <r>
    <d v="2019-01-14T00:00:00"/>
    <n v="122"/>
    <n v="122"/>
    <n v="122"/>
    <n v="122"/>
    <n v="6477100"/>
    <n v="122"/>
    <n v="0"/>
    <n v="120"/>
    <n v="118"/>
    <n v="118"/>
    <n v="1"/>
    <x v="3"/>
    <x v="2"/>
    <n v="0"/>
    <n v="1"/>
    <x v="0"/>
  </r>
  <r>
    <d v="2019-01-15T00:00:00"/>
    <n v="122"/>
    <n v="122"/>
    <n v="122"/>
    <n v="122"/>
    <n v="7512500"/>
    <n v="122"/>
    <n v="0"/>
    <n v="121"/>
    <n v="118"/>
    <n v="118"/>
    <n v="1"/>
    <x v="3"/>
    <x v="2"/>
    <n v="1"/>
    <n v="1"/>
    <x v="0"/>
  </r>
  <r>
    <d v="2019-01-16T00:00:00"/>
    <n v="122"/>
    <n v="122"/>
    <n v="122"/>
    <n v="122"/>
    <n v="6878100"/>
    <n v="122"/>
    <n v="0"/>
    <n v="121"/>
    <n v="118"/>
    <n v="118"/>
    <n v="1"/>
    <x v="3"/>
    <x v="2"/>
    <n v="2"/>
    <n v="1"/>
    <x v="0"/>
  </r>
  <r>
    <d v="2019-01-17T00:00:00"/>
    <n v="122"/>
    <n v="122"/>
    <n v="122"/>
    <n v="122"/>
    <n v="8558500"/>
    <n v="122"/>
    <n v="0"/>
    <n v="121"/>
    <n v="118"/>
    <n v="118"/>
    <n v="1"/>
    <x v="3"/>
    <x v="2"/>
    <n v="3"/>
    <n v="1"/>
    <x v="0"/>
  </r>
  <r>
    <d v="2019-01-18T00:00:00"/>
    <n v="121"/>
    <n v="122"/>
    <n v="121"/>
    <n v="121"/>
    <n v="10896000"/>
    <n v="121"/>
    <n v="-1"/>
    <n v="121"/>
    <n v="118"/>
    <n v="118"/>
    <n v="1"/>
    <x v="3"/>
    <x v="2"/>
    <n v="4"/>
    <n v="1"/>
    <x v="0"/>
  </r>
  <r>
    <d v="2019-01-22T00:00:00"/>
    <n v="121"/>
    <n v="122"/>
    <n v="121"/>
    <n v="121"/>
    <n v="7896500"/>
    <n v="121"/>
    <n v="0"/>
    <n v="121"/>
    <n v="118"/>
    <n v="118"/>
    <n v="1"/>
    <x v="3"/>
    <x v="2"/>
    <n v="1"/>
    <n v="1"/>
    <x v="0"/>
  </r>
  <r>
    <d v="2019-01-23T00:00:00"/>
    <n v="121"/>
    <n v="122"/>
    <n v="121"/>
    <n v="121"/>
    <n v="5224900"/>
    <n v="121"/>
    <n v="0"/>
    <n v="121"/>
    <n v="118"/>
    <n v="118"/>
    <n v="1"/>
    <x v="3"/>
    <x v="2"/>
    <n v="2"/>
    <n v="1"/>
    <x v="0"/>
  </r>
  <r>
    <d v="2019-01-24T00:00:00"/>
    <n v="121"/>
    <n v="121"/>
    <n v="121"/>
    <n v="121"/>
    <n v="5662500"/>
    <n v="121"/>
    <n v="0"/>
    <n v="122"/>
    <n v="118"/>
    <n v="118"/>
    <n v="0"/>
    <x v="3"/>
    <x v="2"/>
    <n v="3"/>
    <n v="1"/>
    <x v="0"/>
  </r>
  <r>
    <d v="2019-01-25T00:00:00"/>
    <n v="123"/>
    <n v="123"/>
    <n v="122"/>
    <n v="122"/>
    <n v="11103300"/>
    <n v="123"/>
    <n v="1"/>
    <n v="122"/>
    <n v="119"/>
    <n v="118"/>
    <n v="1"/>
    <x v="3"/>
    <x v="2"/>
    <n v="4"/>
    <n v="1"/>
    <x v="2"/>
  </r>
  <r>
    <d v="2019-01-28T00:00:00"/>
    <n v="123"/>
    <n v="123"/>
    <n v="123"/>
    <n v="123"/>
    <n v="8522200"/>
    <n v="123"/>
    <n v="0"/>
    <n v="122"/>
    <n v="119"/>
    <n v="118"/>
    <n v="1"/>
    <x v="3"/>
    <x v="2"/>
    <n v="0"/>
    <n v="1"/>
    <x v="0"/>
  </r>
  <r>
    <d v="2019-01-29T00:00:00"/>
    <n v="124"/>
    <n v="124"/>
    <n v="123"/>
    <n v="124"/>
    <n v="11610200"/>
    <n v="124"/>
    <n v="1"/>
    <n v="122"/>
    <n v="119"/>
    <n v="118"/>
    <n v="1"/>
    <x v="3"/>
    <x v="2"/>
    <n v="1"/>
    <n v="1"/>
    <x v="0"/>
  </r>
  <r>
    <d v="2019-01-30T00:00:00"/>
    <n v="125"/>
    <n v="125"/>
    <n v="124"/>
    <n v="124"/>
    <n v="12104000"/>
    <n v="125"/>
    <n v="1"/>
    <n v="122"/>
    <n v="119"/>
    <n v="118"/>
    <n v="1"/>
    <x v="3"/>
    <x v="2"/>
    <n v="2"/>
    <n v="1"/>
    <x v="0"/>
  </r>
  <r>
    <d v="2019-01-31T00:00:00"/>
    <n v="125"/>
    <n v="125"/>
    <n v="125"/>
    <n v="125"/>
    <n v="10209500"/>
    <n v="125"/>
    <n v="0"/>
    <n v="122"/>
    <n v="119"/>
    <n v="118"/>
    <n v="1"/>
    <x v="3"/>
    <x v="2"/>
    <n v="3"/>
    <n v="1"/>
    <x v="0"/>
  </r>
  <r>
    <d v="2019-02-01T00:00:00"/>
    <n v="125"/>
    <n v="125"/>
    <n v="124"/>
    <n v="125"/>
    <n v="12485500"/>
    <n v="125"/>
    <n v="0"/>
    <n v="122"/>
    <n v="120"/>
    <n v="118"/>
    <n v="1"/>
    <x v="3"/>
    <x v="3"/>
    <n v="4"/>
    <n v="1"/>
    <x v="0"/>
  </r>
  <r>
    <d v="2019-02-04T00:00:00"/>
    <n v="124"/>
    <n v="124"/>
    <n v="124"/>
    <n v="124"/>
    <n v="6878900"/>
    <n v="124"/>
    <n v="0"/>
    <n v="123"/>
    <n v="120"/>
    <n v="118"/>
    <n v="1"/>
    <x v="3"/>
    <x v="3"/>
    <n v="0"/>
    <n v="1"/>
    <x v="0"/>
  </r>
  <r>
    <d v="2019-02-05T00:00:00"/>
    <n v="124"/>
    <n v="124"/>
    <n v="124"/>
    <n v="124"/>
    <n v="6291100"/>
    <n v="124"/>
    <n v="0"/>
    <n v="123"/>
    <n v="120"/>
    <n v="118"/>
    <n v="1"/>
    <x v="3"/>
    <x v="3"/>
    <n v="1"/>
    <n v="1"/>
    <x v="0"/>
  </r>
  <r>
    <d v="2019-02-06T00:00:00"/>
    <n v="123"/>
    <n v="124"/>
    <n v="123"/>
    <n v="124"/>
    <n v="6595100"/>
    <n v="123"/>
    <n v="-1"/>
    <n v="123"/>
    <n v="120"/>
    <n v="118"/>
    <n v="1"/>
    <x v="3"/>
    <x v="3"/>
    <n v="2"/>
    <n v="1"/>
    <x v="0"/>
  </r>
  <r>
    <d v="2019-02-07T00:00:00"/>
    <n v="124"/>
    <n v="124"/>
    <n v="123"/>
    <n v="124"/>
    <n v="5935500"/>
    <n v="124"/>
    <n v="0"/>
    <n v="123"/>
    <n v="120"/>
    <n v="118"/>
    <n v="1"/>
    <x v="3"/>
    <x v="3"/>
    <n v="3"/>
    <n v="1"/>
    <x v="0"/>
  </r>
  <r>
    <d v="2019-02-08T00:00:00"/>
    <n v="124"/>
    <n v="124"/>
    <n v="124"/>
    <n v="124"/>
    <n v="4235200"/>
    <n v="124"/>
    <n v="0"/>
    <n v="123"/>
    <n v="120"/>
    <n v="118"/>
    <n v="1"/>
    <x v="3"/>
    <x v="3"/>
    <n v="4"/>
    <n v="1"/>
    <x v="0"/>
  </r>
  <r>
    <d v="2019-02-11T00:00:00"/>
    <n v="124"/>
    <n v="124"/>
    <n v="123"/>
    <n v="123"/>
    <n v="4821800"/>
    <n v="124"/>
    <n v="0"/>
    <n v="123"/>
    <n v="121"/>
    <n v="118"/>
    <n v="1"/>
    <x v="3"/>
    <x v="3"/>
    <n v="0"/>
    <n v="1"/>
    <x v="0"/>
  </r>
  <r>
    <d v="2019-02-12T00:00:00"/>
    <n v="124"/>
    <n v="124"/>
    <n v="124"/>
    <n v="124"/>
    <n v="4271900"/>
    <n v="124"/>
    <n v="0"/>
    <n v="123"/>
    <n v="121"/>
    <n v="118"/>
    <n v="1"/>
    <x v="3"/>
    <x v="3"/>
    <n v="1"/>
    <n v="1"/>
    <x v="0"/>
  </r>
  <r>
    <d v="2019-02-13T00:00:00"/>
    <n v="123"/>
    <n v="125"/>
    <n v="123"/>
    <n v="124"/>
    <n v="7640500"/>
    <n v="123"/>
    <n v="0"/>
    <n v="123"/>
    <n v="121"/>
    <n v="118"/>
    <n v="1"/>
    <x v="3"/>
    <x v="3"/>
    <n v="2"/>
    <n v="1"/>
    <x v="0"/>
  </r>
  <r>
    <d v="2019-02-14T00:00:00"/>
    <n v="124"/>
    <n v="124"/>
    <n v="124"/>
    <n v="124"/>
    <n v="6276500"/>
    <n v="124"/>
    <n v="1"/>
    <n v="123"/>
    <n v="121"/>
    <n v="118"/>
    <n v="1"/>
    <x v="3"/>
    <x v="3"/>
    <n v="3"/>
    <n v="1"/>
    <x v="0"/>
  </r>
  <r>
    <d v="2019-02-15T00:00:00"/>
    <n v="125"/>
    <n v="125"/>
    <n v="124"/>
    <n v="125"/>
    <n v="12190100"/>
    <n v="125"/>
    <n v="1"/>
    <n v="123"/>
    <n v="121"/>
    <n v="118"/>
    <n v="1"/>
    <x v="3"/>
    <x v="3"/>
    <n v="4"/>
    <n v="1"/>
    <x v="0"/>
  </r>
  <r>
    <d v="2019-02-19T00:00:00"/>
    <n v="127"/>
    <n v="127"/>
    <n v="126"/>
    <n v="126"/>
    <n v="15614000"/>
    <n v="127"/>
    <n v="2"/>
    <n v="124"/>
    <n v="121"/>
    <n v="118"/>
    <n v="1"/>
    <x v="3"/>
    <x v="3"/>
    <n v="1"/>
    <n v="1"/>
    <x v="0"/>
  </r>
  <r>
    <d v="2019-02-20T00:00:00"/>
    <n v="126"/>
    <n v="127"/>
    <n v="126"/>
    <n v="127"/>
    <n v="8889700"/>
    <n v="126"/>
    <n v="0"/>
    <n v="124"/>
    <n v="122"/>
    <n v="118"/>
    <n v="1"/>
    <x v="3"/>
    <x v="3"/>
    <n v="2"/>
    <n v="1"/>
    <x v="0"/>
  </r>
  <r>
    <d v="2019-02-21T00:00:00"/>
    <n v="125"/>
    <n v="126"/>
    <n v="125"/>
    <n v="126"/>
    <n v="8634600"/>
    <n v="125"/>
    <n v="-1"/>
    <n v="124"/>
    <n v="122"/>
    <n v="118"/>
    <n v="1"/>
    <x v="3"/>
    <x v="3"/>
    <n v="3"/>
    <n v="1"/>
    <x v="0"/>
  </r>
  <r>
    <d v="2019-02-22T00:00:00"/>
    <n v="126"/>
    <n v="126"/>
    <n v="125"/>
    <n v="126"/>
    <n v="5439400"/>
    <n v="126"/>
    <n v="0"/>
    <n v="124"/>
    <n v="122"/>
    <n v="118"/>
    <n v="1"/>
    <x v="3"/>
    <x v="3"/>
    <n v="4"/>
    <n v="1"/>
    <x v="0"/>
  </r>
  <r>
    <d v="2019-02-25T00:00:00"/>
    <n v="125"/>
    <n v="126"/>
    <n v="125"/>
    <n v="126"/>
    <n v="4882600"/>
    <n v="125"/>
    <n v="0"/>
    <n v="124"/>
    <n v="122"/>
    <n v="118"/>
    <n v="1"/>
    <x v="3"/>
    <x v="3"/>
    <n v="0"/>
    <n v="1"/>
    <x v="0"/>
  </r>
  <r>
    <d v="2019-02-26T00:00:00"/>
    <n v="126"/>
    <n v="126"/>
    <n v="125"/>
    <n v="125"/>
    <n v="5153200"/>
    <n v="126"/>
    <n v="0"/>
    <n v="125"/>
    <n v="122"/>
    <n v="118"/>
    <n v="1"/>
    <x v="3"/>
    <x v="3"/>
    <n v="1"/>
    <n v="1"/>
    <x v="0"/>
  </r>
  <r>
    <d v="2019-02-27T00:00:00"/>
    <n v="125"/>
    <n v="125"/>
    <n v="124"/>
    <n v="125"/>
    <n v="7935600"/>
    <n v="125"/>
    <n v="-1"/>
    <n v="125"/>
    <n v="122"/>
    <n v="118"/>
    <n v="1"/>
    <x v="3"/>
    <x v="3"/>
    <n v="2"/>
    <n v="1"/>
    <x v="0"/>
  </r>
  <r>
    <d v="2019-02-28T00:00:00"/>
    <n v="124"/>
    <n v="125"/>
    <n v="124"/>
    <n v="125"/>
    <n v="7811700"/>
    <n v="124"/>
    <n v="-1"/>
    <n v="125"/>
    <n v="123"/>
    <n v="118"/>
    <n v="1"/>
    <x v="3"/>
    <x v="3"/>
    <n v="3"/>
    <n v="1"/>
    <x v="0"/>
  </r>
  <r>
    <d v="2019-03-01T00:00:00"/>
    <n v="122"/>
    <n v="124"/>
    <n v="122"/>
    <n v="123"/>
    <n v="16411700"/>
    <n v="122"/>
    <n v="-2"/>
    <n v="124"/>
    <n v="123"/>
    <n v="118"/>
    <n v="1"/>
    <x v="3"/>
    <x v="4"/>
    <n v="4"/>
    <n v="1"/>
    <x v="0"/>
  </r>
  <r>
    <d v="2019-03-04T00:00:00"/>
    <n v="122"/>
    <n v="122"/>
    <n v="121"/>
    <n v="122"/>
    <n v="10272600"/>
    <n v="122"/>
    <n v="0"/>
    <n v="124"/>
    <n v="123"/>
    <n v="118"/>
    <n v="1"/>
    <x v="3"/>
    <x v="4"/>
    <n v="0"/>
    <n v="1"/>
    <x v="0"/>
  </r>
  <r>
    <d v="2019-03-05T00:00:00"/>
    <n v="122"/>
    <n v="122"/>
    <n v="121"/>
    <n v="121"/>
    <n v="7120100"/>
    <n v="122"/>
    <n v="0"/>
    <n v="124"/>
    <n v="123"/>
    <n v="118"/>
    <n v="1"/>
    <x v="3"/>
    <x v="4"/>
    <n v="1"/>
    <n v="1"/>
    <x v="0"/>
  </r>
  <r>
    <d v="2019-03-06T00:00:00"/>
    <n v="122"/>
    <n v="122"/>
    <n v="121"/>
    <n v="121"/>
    <n v="4820400"/>
    <n v="122"/>
    <n v="0"/>
    <n v="124"/>
    <n v="123"/>
    <n v="118"/>
    <n v="1"/>
    <x v="3"/>
    <x v="4"/>
    <n v="2"/>
    <n v="1"/>
    <x v="0"/>
  </r>
  <r>
    <d v="2019-03-07T00:00:00"/>
    <n v="122"/>
    <n v="122"/>
    <n v="121"/>
    <n v="121"/>
    <n v="6088800"/>
    <n v="122"/>
    <n v="0"/>
    <n v="124"/>
    <n v="123"/>
    <n v="118"/>
    <n v="1"/>
    <x v="3"/>
    <x v="4"/>
    <n v="3"/>
    <n v="1"/>
    <x v="0"/>
  </r>
  <r>
    <d v="2019-03-08T00:00:00"/>
    <n v="123"/>
    <n v="123"/>
    <n v="122"/>
    <n v="123"/>
    <n v="10427700"/>
    <n v="123"/>
    <n v="1"/>
    <n v="124"/>
    <n v="123"/>
    <n v="118"/>
    <n v="1"/>
    <x v="3"/>
    <x v="4"/>
    <n v="4"/>
    <n v="1"/>
    <x v="0"/>
  </r>
  <r>
    <d v="2019-03-11T00:00:00"/>
    <n v="122"/>
    <n v="123"/>
    <n v="122"/>
    <n v="123"/>
    <n v="6708700"/>
    <n v="122"/>
    <n v="0"/>
    <n v="124"/>
    <n v="123"/>
    <n v="118"/>
    <n v="1"/>
    <x v="3"/>
    <x v="4"/>
    <n v="0"/>
    <n v="1"/>
    <x v="0"/>
  </r>
  <r>
    <d v="2019-03-12T00:00:00"/>
    <n v="123"/>
    <n v="123"/>
    <n v="122"/>
    <n v="123"/>
    <n v="6289900"/>
    <n v="123"/>
    <n v="1"/>
    <n v="124"/>
    <n v="123"/>
    <n v="118"/>
    <n v="1"/>
    <x v="3"/>
    <x v="4"/>
    <n v="1"/>
    <n v="1"/>
    <x v="0"/>
  </r>
  <r>
    <d v="2019-03-13T00:00:00"/>
    <n v="124"/>
    <n v="124"/>
    <n v="123"/>
    <n v="124"/>
    <n v="7377300"/>
    <n v="124"/>
    <n v="1"/>
    <n v="124"/>
    <n v="123"/>
    <n v="118"/>
    <n v="1"/>
    <x v="3"/>
    <x v="4"/>
    <n v="2"/>
    <n v="1"/>
    <x v="0"/>
  </r>
  <r>
    <d v="2019-03-14T00:00:00"/>
    <n v="122"/>
    <n v="123"/>
    <n v="122"/>
    <n v="122"/>
    <n v="6778200"/>
    <n v="122"/>
    <n v="-1"/>
    <n v="124"/>
    <n v="123"/>
    <n v="118"/>
    <n v="1"/>
    <x v="3"/>
    <x v="4"/>
    <n v="3"/>
    <n v="1"/>
    <x v="0"/>
  </r>
  <r>
    <d v="2019-03-15T00:00:00"/>
    <n v="123"/>
    <n v="123"/>
    <n v="123"/>
    <n v="123"/>
    <n v="9412000"/>
    <n v="123"/>
    <n v="0"/>
    <n v="124"/>
    <n v="123"/>
    <n v="118"/>
    <n v="1"/>
    <x v="3"/>
    <x v="4"/>
    <n v="4"/>
    <n v="1"/>
    <x v="0"/>
  </r>
  <r>
    <d v="2019-03-18T00:00:00"/>
    <n v="123"/>
    <n v="123"/>
    <n v="123"/>
    <n v="123"/>
    <n v="7783200"/>
    <n v="123"/>
    <n v="0"/>
    <n v="124"/>
    <n v="123"/>
    <n v="118"/>
    <n v="1"/>
    <x v="3"/>
    <x v="4"/>
    <n v="0"/>
    <n v="1"/>
    <x v="0"/>
  </r>
  <r>
    <d v="2019-03-19T00:00:00"/>
    <n v="123"/>
    <n v="124"/>
    <n v="123"/>
    <n v="124"/>
    <n v="6558700"/>
    <n v="123"/>
    <n v="0"/>
    <n v="123"/>
    <n v="123"/>
    <n v="118"/>
    <n v="1"/>
    <x v="3"/>
    <x v="4"/>
    <n v="1"/>
    <n v="1"/>
    <x v="0"/>
  </r>
  <r>
    <d v="2019-03-20T00:00:00"/>
    <n v="124"/>
    <n v="124"/>
    <n v="123"/>
    <n v="124"/>
    <n v="11304900"/>
    <n v="124"/>
    <n v="1"/>
    <n v="123"/>
    <n v="123"/>
    <n v="118"/>
    <n v="1"/>
    <x v="3"/>
    <x v="4"/>
    <n v="2"/>
    <n v="1"/>
    <x v="0"/>
  </r>
  <r>
    <d v="2019-03-21T00:00:00"/>
    <n v="124"/>
    <n v="124"/>
    <n v="123"/>
    <n v="124"/>
    <n v="7739800"/>
    <n v="124"/>
    <n v="0"/>
    <n v="123"/>
    <n v="123"/>
    <n v="118"/>
    <n v="1"/>
    <x v="3"/>
    <x v="4"/>
    <n v="3"/>
    <n v="1"/>
    <x v="0"/>
  </r>
  <r>
    <d v="2019-03-22T00:00:00"/>
    <n v="124"/>
    <n v="124"/>
    <n v="124"/>
    <n v="124"/>
    <n v="5874000"/>
    <n v="124"/>
    <n v="0"/>
    <n v="123"/>
    <n v="123"/>
    <n v="118"/>
    <n v="1"/>
    <x v="3"/>
    <x v="4"/>
    <n v="4"/>
    <n v="1"/>
    <x v="0"/>
  </r>
  <r>
    <d v="2019-03-25T00:00:00"/>
    <n v="125"/>
    <n v="125"/>
    <n v="124"/>
    <n v="125"/>
    <n v="7288300"/>
    <n v="125"/>
    <n v="1"/>
    <n v="123"/>
    <n v="123"/>
    <n v="118"/>
    <n v="1"/>
    <x v="3"/>
    <x v="4"/>
    <n v="0"/>
    <n v="1"/>
    <x v="0"/>
  </r>
  <r>
    <d v="2019-03-26T00:00:00"/>
    <n v="124"/>
    <n v="125"/>
    <n v="124"/>
    <n v="124"/>
    <n v="5056100"/>
    <n v="124"/>
    <n v="0"/>
    <n v="123"/>
    <n v="123"/>
    <n v="118"/>
    <n v="1"/>
    <x v="3"/>
    <x v="4"/>
    <n v="1"/>
    <n v="1"/>
    <x v="0"/>
  </r>
  <r>
    <d v="2019-03-27T00:00:00"/>
    <n v="124"/>
    <n v="124"/>
    <n v="124"/>
    <n v="124"/>
    <n v="6595000"/>
    <n v="124"/>
    <n v="-1"/>
    <n v="123"/>
    <n v="123"/>
    <n v="118"/>
    <n v="1"/>
    <x v="3"/>
    <x v="4"/>
    <n v="2"/>
    <n v="1"/>
    <x v="0"/>
  </r>
  <r>
    <d v="2019-03-28T00:00:00"/>
    <n v="122"/>
    <n v="122"/>
    <n v="122"/>
    <n v="122"/>
    <n v="11878300"/>
    <n v="122"/>
    <n v="-1"/>
    <n v="123"/>
    <n v="123"/>
    <n v="118"/>
    <n v="1"/>
    <x v="3"/>
    <x v="4"/>
    <n v="3"/>
    <n v="1"/>
    <x v="0"/>
  </r>
  <r>
    <d v="2019-03-29T00:00:00"/>
    <n v="122"/>
    <n v="123"/>
    <n v="122"/>
    <n v="123"/>
    <n v="7093900"/>
    <n v="122"/>
    <n v="0"/>
    <n v="123"/>
    <n v="123"/>
    <n v="118"/>
    <n v="1"/>
    <x v="3"/>
    <x v="4"/>
    <n v="4"/>
    <n v="1"/>
    <x v="0"/>
  </r>
  <r>
    <d v="2019-04-01T00:00:00"/>
    <n v="122"/>
    <n v="122"/>
    <n v="121"/>
    <n v="122"/>
    <n v="13560000"/>
    <n v="122"/>
    <n v="0"/>
    <n v="123"/>
    <n v="123"/>
    <n v="118"/>
    <n v="1"/>
    <x v="3"/>
    <x v="5"/>
    <n v="0"/>
    <n v="2"/>
    <x v="0"/>
  </r>
  <r>
    <d v="2019-04-02T00:00:00"/>
    <n v="122"/>
    <n v="122"/>
    <n v="122"/>
    <n v="122"/>
    <n v="4475000"/>
    <n v="122"/>
    <n v="0"/>
    <n v="123"/>
    <n v="123"/>
    <n v="118"/>
    <n v="1"/>
    <x v="3"/>
    <x v="5"/>
    <n v="1"/>
    <n v="2"/>
    <x v="0"/>
  </r>
  <r>
    <d v="2019-04-03T00:00:00"/>
    <n v="122"/>
    <n v="122"/>
    <n v="122"/>
    <n v="122"/>
    <n v="6152200"/>
    <n v="122"/>
    <n v="0"/>
    <n v="123"/>
    <n v="124"/>
    <n v="118"/>
    <n v="1"/>
    <x v="3"/>
    <x v="5"/>
    <n v="2"/>
    <n v="2"/>
    <x v="0"/>
  </r>
  <r>
    <d v="2019-04-04T00:00:00"/>
    <n v="122"/>
    <n v="122"/>
    <n v="121"/>
    <n v="121"/>
    <n v="7508400"/>
    <n v="122"/>
    <n v="0"/>
    <n v="123"/>
    <n v="124"/>
    <n v="118"/>
    <n v="1"/>
    <x v="3"/>
    <x v="5"/>
    <n v="3"/>
    <n v="2"/>
    <x v="0"/>
  </r>
  <r>
    <d v="2019-04-05T00:00:00"/>
    <n v="122"/>
    <n v="122"/>
    <n v="122"/>
    <n v="122"/>
    <n v="5114500"/>
    <n v="122"/>
    <n v="0"/>
    <n v="123"/>
    <n v="124"/>
    <n v="118"/>
    <n v="1"/>
    <x v="3"/>
    <x v="5"/>
    <n v="4"/>
    <n v="2"/>
    <x v="0"/>
  </r>
  <r>
    <d v="2019-04-08T00:00:00"/>
    <n v="123"/>
    <n v="123"/>
    <n v="122"/>
    <n v="123"/>
    <n v="4270800"/>
    <n v="123"/>
    <n v="0"/>
    <n v="123"/>
    <n v="124"/>
    <n v="118"/>
    <n v="1"/>
    <x v="3"/>
    <x v="5"/>
    <n v="0"/>
    <n v="2"/>
    <x v="0"/>
  </r>
  <r>
    <d v="2019-04-09T00:00:00"/>
    <n v="123"/>
    <n v="123"/>
    <n v="123"/>
    <n v="123"/>
    <n v="4648400"/>
    <n v="123"/>
    <n v="1"/>
    <n v="123"/>
    <n v="124"/>
    <n v="118"/>
    <n v="1"/>
    <x v="3"/>
    <x v="5"/>
    <n v="1"/>
    <n v="2"/>
    <x v="0"/>
  </r>
  <r>
    <d v="2019-04-10T00:00:00"/>
    <n v="124"/>
    <n v="124"/>
    <n v="123"/>
    <n v="123"/>
    <n v="6344800"/>
    <n v="124"/>
    <n v="0"/>
    <n v="123"/>
    <n v="124"/>
    <n v="118"/>
    <n v="1"/>
    <x v="3"/>
    <x v="5"/>
    <n v="2"/>
    <n v="2"/>
    <x v="0"/>
  </r>
  <r>
    <d v="2019-04-11T00:00:00"/>
    <n v="122"/>
    <n v="123"/>
    <n v="122"/>
    <n v="123"/>
    <n v="11694500"/>
    <n v="122"/>
    <n v="-1"/>
    <n v="123"/>
    <n v="123"/>
    <n v="118"/>
    <n v="1"/>
    <x v="3"/>
    <x v="5"/>
    <n v="3"/>
    <n v="2"/>
    <x v="0"/>
  </r>
  <r>
    <d v="2019-04-12T00:00:00"/>
    <n v="122"/>
    <n v="122"/>
    <n v="122"/>
    <n v="122"/>
    <n v="5272800"/>
    <n v="122"/>
    <n v="0"/>
    <n v="123"/>
    <n v="123"/>
    <n v="118"/>
    <n v="1"/>
    <x v="3"/>
    <x v="5"/>
    <n v="4"/>
    <n v="2"/>
    <x v="0"/>
  </r>
  <r>
    <d v="2019-04-15T00:00:00"/>
    <n v="122"/>
    <n v="122"/>
    <n v="121"/>
    <n v="121"/>
    <n v="4252400"/>
    <n v="122"/>
    <n v="0"/>
    <n v="123"/>
    <n v="123"/>
    <n v="118"/>
    <n v="1"/>
    <x v="3"/>
    <x v="5"/>
    <n v="0"/>
    <n v="2"/>
    <x v="0"/>
  </r>
  <r>
    <d v="2019-04-16T00:00:00"/>
    <n v="121"/>
    <n v="121"/>
    <n v="120"/>
    <n v="120"/>
    <n v="10097800"/>
    <n v="121"/>
    <n v="-1"/>
    <n v="123"/>
    <n v="123"/>
    <n v="118"/>
    <n v="1"/>
    <x v="3"/>
    <x v="5"/>
    <n v="1"/>
    <n v="2"/>
    <x v="0"/>
  </r>
  <r>
    <d v="2019-04-17T00:00:00"/>
    <n v="120"/>
    <n v="121"/>
    <n v="120"/>
    <n v="120"/>
    <n v="4693900"/>
    <n v="120"/>
    <n v="0"/>
    <n v="122"/>
    <n v="123"/>
    <n v="118"/>
    <n v="1"/>
    <x v="3"/>
    <x v="5"/>
    <n v="2"/>
    <n v="2"/>
    <x v="0"/>
  </r>
  <r>
    <d v="2019-04-18T00:00:00"/>
    <n v="120"/>
    <n v="121"/>
    <n v="120"/>
    <n v="120"/>
    <n v="4090400"/>
    <n v="120"/>
    <n v="0"/>
    <n v="122"/>
    <n v="123"/>
    <n v="118"/>
    <n v="1"/>
    <x v="3"/>
    <x v="5"/>
    <n v="3"/>
    <n v="2"/>
    <x v="0"/>
  </r>
  <r>
    <d v="2019-04-22T00:00:00"/>
    <n v="120"/>
    <n v="121"/>
    <n v="120"/>
    <n v="120"/>
    <n v="2250900"/>
    <n v="120"/>
    <n v="0"/>
    <n v="122"/>
    <n v="123"/>
    <n v="118"/>
    <n v="1"/>
    <x v="3"/>
    <x v="5"/>
    <n v="0"/>
    <n v="2"/>
    <x v="0"/>
  </r>
  <r>
    <d v="2019-04-23T00:00:00"/>
    <n v="120"/>
    <n v="120"/>
    <n v="120"/>
    <n v="120"/>
    <n v="5574800"/>
    <n v="120"/>
    <n v="0"/>
    <n v="122"/>
    <n v="123"/>
    <n v="118"/>
    <n v="1"/>
    <x v="3"/>
    <x v="5"/>
    <n v="1"/>
    <n v="2"/>
    <x v="0"/>
  </r>
  <r>
    <d v="2019-04-24T00:00:00"/>
    <n v="120"/>
    <n v="121"/>
    <n v="120"/>
    <n v="120"/>
    <n v="4173000"/>
    <n v="120"/>
    <n v="0"/>
    <n v="122"/>
    <n v="123"/>
    <n v="118"/>
    <n v="1"/>
    <x v="3"/>
    <x v="5"/>
    <n v="2"/>
    <n v="2"/>
    <x v="0"/>
  </r>
  <r>
    <d v="2019-04-25T00:00:00"/>
    <n v="121"/>
    <n v="121"/>
    <n v="121"/>
    <n v="121"/>
    <n v="4836900"/>
    <n v="121"/>
    <n v="0"/>
    <n v="122"/>
    <n v="123"/>
    <n v="118"/>
    <n v="1"/>
    <x v="3"/>
    <x v="5"/>
    <n v="3"/>
    <n v="2"/>
    <x v="0"/>
  </r>
  <r>
    <d v="2019-04-26T00:00:00"/>
    <n v="121"/>
    <n v="122"/>
    <n v="121"/>
    <n v="121"/>
    <n v="6022700"/>
    <n v="121"/>
    <n v="1"/>
    <n v="122"/>
    <n v="123"/>
    <n v="118"/>
    <n v="0"/>
    <x v="3"/>
    <x v="5"/>
    <n v="4"/>
    <n v="2"/>
    <x v="0"/>
  </r>
  <r>
    <d v="2019-04-29T00:00:00"/>
    <n v="121"/>
    <n v="121"/>
    <n v="121"/>
    <n v="121"/>
    <n v="4469300"/>
    <n v="121"/>
    <n v="0"/>
    <n v="121"/>
    <n v="123"/>
    <n v="118"/>
    <n v="0"/>
    <x v="3"/>
    <x v="5"/>
    <n v="0"/>
    <n v="2"/>
    <x v="0"/>
  </r>
  <r>
    <d v="2019-04-30T00:00:00"/>
    <n v="121"/>
    <n v="121"/>
    <n v="121"/>
    <n v="121"/>
    <n v="4758600"/>
    <n v="121"/>
    <n v="0"/>
    <n v="121"/>
    <n v="123"/>
    <n v="118"/>
    <n v="0"/>
    <x v="3"/>
    <x v="5"/>
    <n v="1"/>
    <n v="2"/>
    <x v="0"/>
  </r>
  <r>
    <d v="2019-05-01T00:00:00"/>
    <n v="120"/>
    <n v="122"/>
    <n v="120"/>
    <n v="121"/>
    <n v="12331800"/>
    <n v="120"/>
    <n v="-1"/>
    <n v="121"/>
    <n v="123"/>
    <n v="118"/>
    <n v="0"/>
    <x v="3"/>
    <x v="6"/>
    <n v="2"/>
    <n v="2"/>
    <x v="0"/>
  </r>
  <r>
    <d v="2019-05-02T00:00:00"/>
    <n v="120"/>
    <n v="120"/>
    <n v="120"/>
    <n v="120"/>
    <n v="6759600"/>
    <n v="120"/>
    <n v="0"/>
    <n v="121"/>
    <n v="122"/>
    <n v="118"/>
    <n v="0"/>
    <x v="3"/>
    <x v="6"/>
    <n v="3"/>
    <n v="2"/>
    <x v="0"/>
  </r>
  <r>
    <d v="2019-05-03T00:00:00"/>
    <n v="121"/>
    <n v="121"/>
    <n v="120"/>
    <n v="121"/>
    <n v="8414400"/>
    <n v="121"/>
    <n v="1"/>
    <n v="121"/>
    <n v="122"/>
    <n v="118"/>
    <n v="1"/>
    <x v="3"/>
    <x v="6"/>
    <n v="4"/>
    <n v="2"/>
    <x v="0"/>
  </r>
  <r>
    <d v="2019-05-06T00:00:00"/>
    <n v="121"/>
    <n v="121"/>
    <n v="121"/>
    <n v="121"/>
    <n v="3479600"/>
    <n v="121"/>
    <n v="0"/>
    <n v="121"/>
    <n v="122"/>
    <n v="118"/>
    <n v="1"/>
    <x v="3"/>
    <x v="6"/>
    <n v="0"/>
    <n v="2"/>
    <x v="0"/>
  </r>
  <r>
    <d v="2019-05-07T00:00:00"/>
    <n v="121"/>
    <n v="121"/>
    <n v="121"/>
    <n v="121"/>
    <n v="4010700"/>
    <n v="121"/>
    <n v="0"/>
    <n v="121"/>
    <n v="122"/>
    <n v="118"/>
    <n v="1"/>
    <x v="3"/>
    <x v="6"/>
    <n v="1"/>
    <n v="2"/>
    <x v="0"/>
  </r>
  <r>
    <d v="2019-05-08T00:00:00"/>
    <n v="121"/>
    <n v="122"/>
    <n v="121"/>
    <n v="122"/>
    <n v="4178800"/>
    <n v="121"/>
    <n v="0"/>
    <n v="121"/>
    <n v="122"/>
    <n v="118"/>
    <n v="0"/>
    <x v="3"/>
    <x v="6"/>
    <n v="2"/>
    <n v="2"/>
    <x v="0"/>
  </r>
  <r>
    <d v="2019-05-09T00:00:00"/>
    <n v="121"/>
    <n v="122"/>
    <n v="121"/>
    <n v="121"/>
    <n v="5015500"/>
    <n v="121"/>
    <n v="0"/>
    <n v="121"/>
    <n v="122"/>
    <n v="118"/>
    <n v="0"/>
    <x v="3"/>
    <x v="6"/>
    <n v="3"/>
    <n v="2"/>
    <x v="0"/>
  </r>
  <r>
    <d v="2019-05-10T00:00:00"/>
    <n v="121"/>
    <n v="122"/>
    <n v="121"/>
    <n v="121"/>
    <n v="4586000"/>
    <n v="121"/>
    <n v="0"/>
    <n v="121"/>
    <n v="122"/>
    <n v="118"/>
    <n v="0"/>
    <x v="3"/>
    <x v="6"/>
    <n v="4"/>
    <n v="2"/>
    <x v="0"/>
  </r>
  <r>
    <d v="2019-05-13T00:00:00"/>
    <n v="123"/>
    <n v="123"/>
    <n v="122"/>
    <n v="123"/>
    <n v="11130900"/>
    <n v="123"/>
    <n v="1"/>
    <n v="121"/>
    <n v="122"/>
    <n v="119"/>
    <n v="0"/>
    <x v="3"/>
    <x v="6"/>
    <n v="0"/>
    <n v="2"/>
    <x v="0"/>
  </r>
  <r>
    <d v="2019-05-14T00:00:00"/>
    <n v="122"/>
    <n v="123"/>
    <n v="122"/>
    <n v="123"/>
    <n v="5556000"/>
    <n v="122"/>
    <n v="0"/>
    <n v="121"/>
    <n v="122"/>
    <n v="119"/>
    <n v="0"/>
    <x v="3"/>
    <x v="6"/>
    <n v="1"/>
    <n v="2"/>
    <x v="0"/>
  </r>
  <r>
    <d v="2019-05-15T00:00:00"/>
    <n v="122"/>
    <n v="123"/>
    <n v="122"/>
    <n v="123"/>
    <n v="10299000"/>
    <n v="122"/>
    <n v="0"/>
    <n v="121"/>
    <n v="122"/>
    <n v="119"/>
    <n v="0"/>
    <x v="3"/>
    <x v="6"/>
    <n v="2"/>
    <n v="2"/>
    <x v="0"/>
  </r>
  <r>
    <d v="2019-05-16T00:00:00"/>
    <n v="122"/>
    <n v="122"/>
    <n v="121"/>
    <n v="122"/>
    <n v="6349400"/>
    <n v="122"/>
    <n v="-1"/>
    <n v="121"/>
    <n v="122"/>
    <n v="119"/>
    <n v="0"/>
    <x v="3"/>
    <x v="6"/>
    <n v="3"/>
    <n v="2"/>
    <x v="0"/>
  </r>
  <r>
    <d v="2019-05-17T00:00:00"/>
    <n v="121"/>
    <n v="121"/>
    <n v="120"/>
    <n v="121"/>
    <n v="6589300"/>
    <n v="121"/>
    <n v="-1"/>
    <n v="121"/>
    <n v="122"/>
    <n v="119"/>
    <n v="0"/>
    <x v="3"/>
    <x v="6"/>
    <n v="4"/>
    <n v="2"/>
    <x v="0"/>
  </r>
  <r>
    <d v="2019-05-20T00:00:00"/>
    <n v="121"/>
    <n v="121"/>
    <n v="120"/>
    <n v="121"/>
    <n v="4345800"/>
    <n v="121"/>
    <n v="0"/>
    <n v="121"/>
    <n v="122"/>
    <n v="119"/>
    <n v="0"/>
    <x v="3"/>
    <x v="6"/>
    <n v="0"/>
    <n v="2"/>
    <x v="0"/>
  </r>
  <r>
    <d v="2019-05-21T00:00:00"/>
    <n v="120"/>
    <n v="120"/>
    <n v="120"/>
    <n v="120"/>
    <n v="3845600"/>
    <n v="120"/>
    <n v="0"/>
    <n v="121"/>
    <n v="122"/>
    <n v="119"/>
    <n v="0"/>
    <x v="3"/>
    <x v="6"/>
    <n v="1"/>
    <n v="2"/>
    <x v="0"/>
  </r>
  <r>
    <d v="2019-05-22T00:00:00"/>
    <n v="120"/>
    <n v="121"/>
    <n v="120"/>
    <n v="120"/>
    <n v="3741800"/>
    <n v="120"/>
    <n v="0"/>
    <n v="121"/>
    <n v="122"/>
    <n v="119"/>
    <n v="0"/>
    <x v="3"/>
    <x v="6"/>
    <n v="2"/>
    <n v="2"/>
    <x v="0"/>
  </r>
  <r>
    <d v="2019-05-23T00:00:00"/>
    <n v="121"/>
    <n v="122"/>
    <n v="121"/>
    <n v="121"/>
    <n v="6054600"/>
    <n v="121"/>
    <n v="1"/>
    <n v="121"/>
    <n v="122"/>
    <n v="119"/>
    <n v="0"/>
    <x v="3"/>
    <x v="6"/>
    <n v="3"/>
    <n v="2"/>
    <x v="0"/>
  </r>
  <r>
    <d v="2019-05-24T00:00:00"/>
    <n v="121"/>
    <n v="121"/>
    <n v="121"/>
    <n v="121"/>
    <n v="2324700"/>
    <n v="121"/>
    <n v="0"/>
    <n v="121"/>
    <n v="122"/>
    <n v="119"/>
    <n v="0"/>
    <x v="3"/>
    <x v="6"/>
    <n v="4"/>
    <n v="2"/>
    <x v="0"/>
  </r>
  <r>
    <d v="2019-05-28T00:00:00"/>
    <n v="121"/>
    <n v="121"/>
    <n v="120"/>
    <n v="121"/>
    <n v="4303500"/>
    <n v="121"/>
    <n v="0"/>
    <n v="121"/>
    <n v="122"/>
    <n v="119"/>
    <n v="0"/>
    <x v="3"/>
    <x v="6"/>
    <n v="1"/>
    <n v="2"/>
    <x v="0"/>
  </r>
  <r>
    <d v="2019-05-29T00:00:00"/>
    <n v="121"/>
    <n v="121"/>
    <n v="121"/>
    <n v="121"/>
    <n v="4133200"/>
    <n v="121"/>
    <n v="0"/>
    <n v="121"/>
    <n v="122"/>
    <n v="119"/>
    <n v="0"/>
    <x v="3"/>
    <x v="6"/>
    <n v="2"/>
    <n v="2"/>
    <x v="0"/>
  </r>
  <r>
    <d v="2019-05-30T00:00:00"/>
    <n v="122"/>
    <n v="122"/>
    <n v="121"/>
    <n v="121"/>
    <n v="7757000"/>
    <n v="122"/>
    <n v="1"/>
    <n v="121"/>
    <n v="122"/>
    <n v="119"/>
    <n v="0"/>
    <x v="3"/>
    <x v="6"/>
    <n v="3"/>
    <n v="2"/>
    <x v="0"/>
  </r>
  <r>
    <d v="2019-05-31T00:00:00"/>
    <n v="123"/>
    <n v="123"/>
    <n v="122"/>
    <n v="123"/>
    <n v="15367000"/>
    <n v="123"/>
    <n v="1"/>
    <n v="121"/>
    <n v="122"/>
    <n v="119"/>
    <n v="1"/>
    <x v="3"/>
    <x v="6"/>
    <n v="4"/>
    <n v="2"/>
    <x v="0"/>
  </r>
  <r>
    <d v="2019-06-03T00:00:00"/>
    <n v="125"/>
    <n v="125"/>
    <n v="124"/>
    <n v="124"/>
    <n v="14173600"/>
    <n v="125"/>
    <n v="1"/>
    <n v="122"/>
    <n v="122"/>
    <n v="119"/>
    <n v="1"/>
    <x v="3"/>
    <x v="7"/>
    <n v="0"/>
    <n v="2"/>
    <x v="0"/>
  </r>
  <r>
    <d v="2019-06-04T00:00:00"/>
    <n v="125"/>
    <n v="125"/>
    <n v="125"/>
    <n v="125"/>
    <n v="7997100"/>
    <n v="125"/>
    <n v="0"/>
    <n v="122"/>
    <n v="122"/>
    <n v="119"/>
    <n v="1"/>
    <x v="3"/>
    <x v="7"/>
    <n v="1"/>
    <n v="2"/>
    <x v="0"/>
  </r>
  <r>
    <d v="2019-06-05T00:00:00"/>
    <n v="125"/>
    <n v="126"/>
    <n v="125"/>
    <n v="126"/>
    <n v="7637900"/>
    <n v="125"/>
    <n v="0"/>
    <n v="122"/>
    <n v="122"/>
    <n v="119"/>
    <n v="1"/>
    <x v="3"/>
    <x v="7"/>
    <n v="2"/>
    <n v="2"/>
    <x v="0"/>
  </r>
  <r>
    <d v="2019-06-06T00:00:00"/>
    <n v="126"/>
    <n v="126"/>
    <n v="126"/>
    <n v="126"/>
    <n v="5551800"/>
    <n v="126"/>
    <n v="0"/>
    <n v="122"/>
    <n v="122"/>
    <n v="119"/>
    <n v="1"/>
    <x v="3"/>
    <x v="7"/>
    <n v="3"/>
    <n v="2"/>
    <x v="0"/>
  </r>
  <r>
    <d v="2019-06-07T00:00:00"/>
    <n v="127"/>
    <n v="127"/>
    <n v="126"/>
    <n v="127"/>
    <n v="8145900"/>
    <n v="127"/>
    <n v="1"/>
    <n v="122"/>
    <n v="122"/>
    <n v="119"/>
    <n v="1"/>
    <x v="3"/>
    <x v="7"/>
    <n v="4"/>
    <n v="2"/>
    <x v="0"/>
  </r>
  <r>
    <d v="2019-06-10T00:00:00"/>
    <n v="125"/>
    <n v="126"/>
    <n v="125"/>
    <n v="125"/>
    <n v="5410000"/>
    <n v="125"/>
    <n v="-1"/>
    <n v="123"/>
    <n v="122"/>
    <n v="119"/>
    <n v="1"/>
    <x v="3"/>
    <x v="7"/>
    <n v="0"/>
    <n v="2"/>
    <x v="0"/>
  </r>
  <r>
    <d v="2019-06-11T00:00:00"/>
    <n v="125"/>
    <n v="125"/>
    <n v="125"/>
    <n v="125"/>
    <n v="4757800"/>
    <n v="125"/>
    <n v="0"/>
    <n v="123"/>
    <n v="122"/>
    <n v="119"/>
    <n v="1"/>
    <x v="3"/>
    <x v="7"/>
    <n v="1"/>
    <n v="2"/>
    <x v="0"/>
  </r>
  <r>
    <d v="2019-06-12T00:00:00"/>
    <n v="126"/>
    <n v="126"/>
    <n v="126"/>
    <n v="126"/>
    <n v="5756200"/>
    <n v="126"/>
    <n v="1"/>
    <n v="123"/>
    <n v="122"/>
    <n v="119"/>
    <n v="1"/>
    <x v="3"/>
    <x v="7"/>
    <n v="2"/>
    <n v="2"/>
    <x v="0"/>
  </r>
  <r>
    <d v="2019-06-13T00:00:00"/>
    <n v="127"/>
    <n v="127"/>
    <n v="126"/>
    <n v="126"/>
    <n v="5374800"/>
    <n v="127"/>
    <n v="1"/>
    <n v="123"/>
    <n v="122"/>
    <n v="120"/>
    <n v="1"/>
    <x v="3"/>
    <x v="7"/>
    <n v="3"/>
    <n v="2"/>
    <x v="0"/>
  </r>
  <r>
    <d v="2019-06-14T00:00:00"/>
    <n v="127"/>
    <n v="128"/>
    <n v="126"/>
    <n v="127"/>
    <n v="9226100"/>
    <n v="127"/>
    <n v="0"/>
    <n v="123"/>
    <n v="122"/>
    <n v="120"/>
    <n v="1"/>
    <x v="3"/>
    <x v="7"/>
    <n v="4"/>
    <n v="2"/>
    <x v="0"/>
  </r>
  <r>
    <d v="2019-06-17T00:00:00"/>
    <n v="126"/>
    <n v="127"/>
    <n v="126"/>
    <n v="127"/>
    <n v="4763300"/>
    <n v="126"/>
    <n v="0"/>
    <n v="124"/>
    <n v="122"/>
    <n v="120"/>
    <n v="1"/>
    <x v="3"/>
    <x v="7"/>
    <n v="0"/>
    <n v="2"/>
    <x v="0"/>
  </r>
  <r>
    <d v="2019-06-18T00:00:00"/>
    <n v="127"/>
    <n v="128"/>
    <n v="126"/>
    <n v="128"/>
    <n v="10309600"/>
    <n v="127"/>
    <n v="1"/>
    <n v="124"/>
    <n v="122"/>
    <n v="120"/>
    <n v="1"/>
    <x v="3"/>
    <x v="7"/>
    <n v="1"/>
    <n v="2"/>
    <x v="0"/>
  </r>
  <r>
    <d v="2019-06-19T00:00:00"/>
    <n v="128"/>
    <n v="128"/>
    <n v="127"/>
    <n v="127"/>
    <n v="11660600"/>
    <n v="128"/>
    <n v="1"/>
    <n v="124"/>
    <n v="122"/>
    <n v="120"/>
    <n v="1"/>
    <x v="3"/>
    <x v="7"/>
    <n v="2"/>
    <n v="2"/>
    <x v="0"/>
  </r>
  <r>
    <d v="2019-06-20T00:00:00"/>
    <n v="131"/>
    <n v="131"/>
    <n v="130"/>
    <n v="130"/>
    <n v="18636300"/>
    <n v="131"/>
    <n v="3"/>
    <n v="125"/>
    <n v="123"/>
    <n v="120"/>
    <n v="1"/>
    <x v="3"/>
    <x v="7"/>
    <n v="3"/>
    <n v="2"/>
    <x v="0"/>
  </r>
  <r>
    <d v="2019-06-21T00:00:00"/>
    <n v="132"/>
    <n v="132"/>
    <n v="131"/>
    <n v="132"/>
    <n v="15068000"/>
    <n v="132"/>
    <n v="1"/>
    <n v="126"/>
    <n v="123"/>
    <n v="120"/>
    <n v="1"/>
    <x v="3"/>
    <x v="7"/>
    <n v="4"/>
    <n v="2"/>
    <x v="0"/>
  </r>
  <r>
    <d v="2019-06-24T00:00:00"/>
    <n v="134"/>
    <n v="134"/>
    <n v="133"/>
    <n v="133"/>
    <n v="17851800"/>
    <n v="134"/>
    <n v="1"/>
    <n v="126"/>
    <n v="123"/>
    <n v="120"/>
    <n v="1"/>
    <x v="3"/>
    <x v="7"/>
    <n v="0"/>
    <n v="2"/>
    <x v="0"/>
  </r>
  <r>
    <d v="2019-06-25T00:00:00"/>
    <n v="134"/>
    <n v="136"/>
    <n v="133"/>
    <n v="135"/>
    <n v="24772200"/>
    <n v="134"/>
    <n v="0"/>
    <n v="127"/>
    <n v="123"/>
    <n v="120"/>
    <n v="1"/>
    <x v="3"/>
    <x v="7"/>
    <n v="1"/>
    <n v="2"/>
    <x v="0"/>
  </r>
  <r>
    <d v="2019-06-26T00:00:00"/>
    <n v="133"/>
    <n v="134"/>
    <n v="132"/>
    <n v="133"/>
    <n v="12016400"/>
    <n v="133"/>
    <n v="-1"/>
    <n v="127"/>
    <n v="124"/>
    <n v="120"/>
    <n v="1"/>
    <x v="3"/>
    <x v="7"/>
    <n v="2"/>
    <n v="2"/>
    <x v="0"/>
  </r>
  <r>
    <d v="2019-06-27T00:00:00"/>
    <n v="133"/>
    <n v="133"/>
    <n v="132"/>
    <n v="132"/>
    <n v="8412800"/>
    <n v="133"/>
    <n v="0"/>
    <n v="128"/>
    <n v="124"/>
    <n v="120"/>
    <n v="1"/>
    <x v="3"/>
    <x v="7"/>
    <n v="3"/>
    <n v="2"/>
    <x v="0"/>
  </r>
  <r>
    <d v="2019-06-28T00:00:00"/>
    <n v="133"/>
    <n v="133"/>
    <n v="133"/>
    <n v="133"/>
    <n v="8077000"/>
    <n v="133"/>
    <n v="0"/>
    <n v="128"/>
    <n v="124"/>
    <n v="120"/>
    <n v="1"/>
    <x v="3"/>
    <x v="7"/>
    <n v="4"/>
    <n v="2"/>
    <x v="0"/>
  </r>
  <r>
    <d v="2019-07-01T00:00:00"/>
    <n v="131"/>
    <n v="132"/>
    <n v="131"/>
    <n v="132"/>
    <n v="13317700"/>
    <n v="131"/>
    <n v="-2"/>
    <n v="129"/>
    <n v="124"/>
    <n v="121"/>
    <n v="1"/>
    <x v="3"/>
    <x v="8"/>
    <n v="0"/>
    <n v="3"/>
    <x v="0"/>
  </r>
  <r>
    <d v="2019-07-02T00:00:00"/>
    <n v="133"/>
    <n v="134"/>
    <n v="131"/>
    <n v="131"/>
    <n v="13282100"/>
    <n v="133"/>
    <n v="2"/>
    <n v="129"/>
    <n v="124"/>
    <n v="121"/>
    <n v="1"/>
    <x v="3"/>
    <x v="8"/>
    <n v="1"/>
    <n v="3"/>
    <x v="0"/>
  </r>
  <r>
    <d v="2019-07-03T00:00:00"/>
    <n v="134"/>
    <n v="134"/>
    <n v="133"/>
    <n v="134"/>
    <n v="6351500"/>
    <n v="134"/>
    <n v="0"/>
    <n v="130"/>
    <n v="125"/>
    <n v="121"/>
    <n v="1"/>
    <x v="3"/>
    <x v="8"/>
    <n v="2"/>
    <n v="3"/>
    <x v="0"/>
  </r>
  <r>
    <d v="2019-07-05T00:00:00"/>
    <n v="132"/>
    <n v="132"/>
    <n v="131"/>
    <n v="131"/>
    <n v="11536600"/>
    <n v="132"/>
    <n v="-1"/>
    <n v="130"/>
    <n v="125"/>
    <n v="121"/>
    <n v="1"/>
    <x v="3"/>
    <x v="8"/>
    <n v="4"/>
    <n v="3"/>
    <x v="0"/>
  </r>
  <r>
    <d v="2019-07-08T00:00:00"/>
    <n v="131"/>
    <n v="132"/>
    <n v="131"/>
    <n v="132"/>
    <n v="8028900"/>
    <n v="131"/>
    <n v="-1"/>
    <n v="130"/>
    <n v="125"/>
    <n v="121"/>
    <n v="1"/>
    <x v="3"/>
    <x v="8"/>
    <n v="0"/>
    <n v="3"/>
    <x v="0"/>
  </r>
  <r>
    <d v="2019-07-09T00:00:00"/>
    <n v="132"/>
    <n v="132"/>
    <n v="131"/>
    <n v="131"/>
    <n v="6633400"/>
    <n v="132"/>
    <n v="0"/>
    <n v="130"/>
    <n v="125"/>
    <n v="121"/>
    <n v="1"/>
    <x v="3"/>
    <x v="8"/>
    <n v="1"/>
    <n v="3"/>
    <x v="0"/>
  </r>
  <r>
    <d v="2019-07-10T00:00:00"/>
    <n v="134"/>
    <n v="134"/>
    <n v="132"/>
    <n v="133"/>
    <n v="13920600"/>
    <n v="134"/>
    <n v="2"/>
    <n v="131"/>
    <n v="126"/>
    <n v="121"/>
    <n v="1"/>
    <x v="3"/>
    <x v="8"/>
    <n v="2"/>
    <n v="3"/>
    <x v="0"/>
  </r>
  <r>
    <d v="2019-07-11T00:00:00"/>
    <n v="133"/>
    <n v="134"/>
    <n v="132"/>
    <n v="134"/>
    <n v="7535100"/>
    <n v="133"/>
    <n v="-1"/>
    <n v="131"/>
    <n v="126"/>
    <n v="121"/>
    <n v="1"/>
    <x v="3"/>
    <x v="8"/>
    <n v="3"/>
    <n v="3"/>
    <x v="0"/>
  </r>
  <r>
    <d v="2019-07-12T00:00:00"/>
    <n v="134"/>
    <n v="134"/>
    <n v="133"/>
    <n v="133"/>
    <n v="6309500"/>
    <n v="134"/>
    <n v="1"/>
    <n v="132"/>
    <n v="126"/>
    <n v="121"/>
    <n v="1"/>
    <x v="3"/>
    <x v="8"/>
    <n v="4"/>
    <n v="3"/>
    <x v="0"/>
  </r>
  <r>
    <d v="2019-07-15T00:00:00"/>
    <n v="134"/>
    <n v="134"/>
    <n v="133"/>
    <n v="133"/>
    <n v="4026600"/>
    <n v="134"/>
    <n v="0"/>
    <n v="132"/>
    <n v="126"/>
    <n v="121"/>
    <n v="1"/>
    <x v="3"/>
    <x v="8"/>
    <n v="0"/>
    <n v="3"/>
    <x v="0"/>
  </r>
  <r>
    <d v="2019-07-16T00:00:00"/>
    <n v="132"/>
    <n v="133"/>
    <n v="132"/>
    <n v="133"/>
    <n v="7966000"/>
    <n v="132"/>
    <n v="-1"/>
    <n v="132"/>
    <n v="127"/>
    <n v="122"/>
    <n v="1"/>
    <x v="3"/>
    <x v="8"/>
    <n v="1"/>
    <n v="3"/>
    <x v="0"/>
  </r>
  <r>
    <d v="2019-07-17T00:00:00"/>
    <n v="135"/>
    <n v="135"/>
    <n v="133"/>
    <n v="133"/>
    <n v="11288300"/>
    <n v="135"/>
    <n v="2"/>
    <n v="133"/>
    <n v="127"/>
    <n v="122"/>
    <n v="1"/>
    <x v="3"/>
    <x v="8"/>
    <n v="2"/>
    <n v="3"/>
    <x v="0"/>
  </r>
  <r>
    <d v="2019-07-18T00:00:00"/>
    <n v="136"/>
    <n v="137"/>
    <n v="134"/>
    <n v="134"/>
    <n v="18448200"/>
    <n v="136"/>
    <n v="1"/>
    <n v="133"/>
    <n v="127"/>
    <n v="122"/>
    <n v="1"/>
    <x v="3"/>
    <x v="8"/>
    <n v="3"/>
    <n v="3"/>
    <x v="0"/>
  </r>
  <r>
    <d v="2019-07-19T00:00:00"/>
    <n v="134"/>
    <n v="136"/>
    <n v="134"/>
    <n v="135"/>
    <n v="18079200"/>
    <n v="134"/>
    <n v="-1"/>
    <n v="133"/>
    <n v="128"/>
    <n v="122"/>
    <n v="1"/>
    <x v="3"/>
    <x v="8"/>
    <n v="4"/>
    <n v="3"/>
    <x v="0"/>
  </r>
  <r>
    <d v="2019-07-22T00:00:00"/>
    <n v="134"/>
    <n v="135"/>
    <n v="134"/>
    <n v="135"/>
    <n v="7570400"/>
    <n v="134"/>
    <n v="0"/>
    <n v="133"/>
    <n v="128"/>
    <n v="122"/>
    <n v="1"/>
    <x v="3"/>
    <x v="8"/>
    <n v="0"/>
    <n v="3"/>
    <x v="0"/>
  </r>
  <r>
    <d v="2019-07-23T00:00:00"/>
    <n v="134"/>
    <n v="135"/>
    <n v="134"/>
    <n v="134"/>
    <n v="9981400"/>
    <n v="134"/>
    <n v="-1"/>
    <n v="133"/>
    <n v="128"/>
    <n v="122"/>
    <n v="1"/>
    <x v="3"/>
    <x v="8"/>
    <n v="1"/>
    <n v="3"/>
    <x v="0"/>
  </r>
  <r>
    <d v="2019-07-24T00:00:00"/>
    <n v="134"/>
    <n v="135"/>
    <n v="134"/>
    <n v="135"/>
    <n v="6715200"/>
    <n v="134"/>
    <n v="1"/>
    <n v="133"/>
    <n v="128"/>
    <n v="122"/>
    <n v="1"/>
    <x v="3"/>
    <x v="8"/>
    <n v="2"/>
    <n v="3"/>
    <x v="0"/>
  </r>
  <r>
    <d v="2019-07-25T00:00:00"/>
    <n v="133"/>
    <n v="134"/>
    <n v="133"/>
    <n v="134"/>
    <n v="11708200"/>
    <n v="133"/>
    <n v="-1"/>
    <n v="133"/>
    <n v="128"/>
    <n v="122"/>
    <n v="1"/>
    <x v="3"/>
    <x v="8"/>
    <n v="3"/>
    <n v="3"/>
    <x v="0"/>
  </r>
  <r>
    <d v="2019-07-26T00:00:00"/>
    <n v="134"/>
    <n v="134"/>
    <n v="134"/>
    <n v="134"/>
    <n v="6249900"/>
    <n v="134"/>
    <n v="0"/>
    <n v="133"/>
    <n v="129"/>
    <n v="122"/>
    <n v="1"/>
    <x v="3"/>
    <x v="8"/>
    <n v="4"/>
    <n v="3"/>
    <x v="0"/>
  </r>
  <r>
    <d v="2019-07-29T00:00:00"/>
    <n v="135"/>
    <n v="135"/>
    <n v="133"/>
    <n v="134"/>
    <n v="9162400"/>
    <n v="135"/>
    <n v="1"/>
    <n v="133"/>
    <n v="129"/>
    <n v="122"/>
    <n v="1"/>
    <x v="3"/>
    <x v="8"/>
    <n v="0"/>
    <n v="3"/>
    <x v="0"/>
  </r>
  <r>
    <d v="2019-07-30T00:00:00"/>
    <n v="135"/>
    <n v="135"/>
    <n v="134"/>
    <n v="135"/>
    <n v="9458700"/>
    <n v="135"/>
    <n v="0"/>
    <n v="134"/>
    <n v="129"/>
    <n v="123"/>
    <n v="1"/>
    <x v="3"/>
    <x v="8"/>
    <n v="1"/>
    <n v="3"/>
    <x v="0"/>
  </r>
  <r>
    <d v="2019-07-31T00:00:00"/>
    <n v="133"/>
    <n v="135"/>
    <n v="133"/>
    <n v="135"/>
    <n v="18797200"/>
    <n v="133"/>
    <n v="-1"/>
    <n v="134"/>
    <n v="130"/>
    <n v="123"/>
    <n v="1"/>
    <x v="3"/>
    <x v="8"/>
    <n v="2"/>
    <n v="3"/>
    <x v="0"/>
  </r>
  <r>
    <d v="2019-08-01T00:00:00"/>
    <n v="136"/>
    <n v="136"/>
    <n v="132"/>
    <n v="132"/>
    <n v="27719800"/>
    <n v="136"/>
    <n v="2"/>
    <n v="134"/>
    <n v="130"/>
    <n v="123"/>
    <n v="1"/>
    <x v="3"/>
    <x v="9"/>
    <n v="3"/>
    <n v="3"/>
    <x v="0"/>
  </r>
  <r>
    <d v="2019-08-02T00:00:00"/>
    <n v="136"/>
    <n v="137"/>
    <n v="135"/>
    <n v="135"/>
    <n v="13753200"/>
    <n v="136"/>
    <n v="0"/>
    <n v="134"/>
    <n v="130"/>
    <n v="123"/>
    <n v="1"/>
    <x v="3"/>
    <x v="9"/>
    <n v="4"/>
    <n v="3"/>
    <x v="0"/>
  </r>
  <r>
    <d v="2019-08-05T00:00:00"/>
    <n v="138"/>
    <n v="139"/>
    <n v="137"/>
    <n v="138"/>
    <n v="17519800"/>
    <n v="138"/>
    <n v="1"/>
    <n v="134"/>
    <n v="130"/>
    <n v="123"/>
    <n v="1"/>
    <x v="3"/>
    <x v="9"/>
    <n v="0"/>
    <n v="3"/>
    <x v="0"/>
  </r>
  <r>
    <d v="2019-08-06T00:00:00"/>
    <n v="139"/>
    <n v="139"/>
    <n v="138"/>
    <n v="138"/>
    <n v="9471200"/>
    <n v="139"/>
    <n v="1"/>
    <n v="135"/>
    <n v="131"/>
    <n v="123"/>
    <n v="1"/>
    <x v="3"/>
    <x v="9"/>
    <n v="1"/>
    <n v="3"/>
    <x v="0"/>
  </r>
  <r>
    <d v="2019-08-07T00:00:00"/>
    <n v="141"/>
    <n v="142"/>
    <n v="141"/>
    <n v="141"/>
    <n v="26671100"/>
    <n v="141"/>
    <n v="2"/>
    <n v="135"/>
    <n v="131"/>
    <n v="123"/>
    <n v="1"/>
    <x v="3"/>
    <x v="9"/>
    <n v="2"/>
    <n v="3"/>
    <x v="0"/>
  </r>
  <r>
    <d v="2019-08-08T00:00:00"/>
    <n v="142"/>
    <n v="142"/>
    <n v="141"/>
    <n v="141"/>
    <n v="13108600"/>
    <n v="142"/>
    <n v="1"/>
    <n v="135"/>
    <n v="132"/>
    <n v="123"/>
    <n v="1"/>
    <x v="3"/>
    <x v="9"/>
    <n v="3"/>
    <n v="3"/>
    <x v="0"/>
  </r>
  <r>
    <d v="2019-08-09T00:00:00"/>
    <n v="141"/>
    <n v="142"/>
    <n v="141"/>
    <n v="141"/>
    <n v="9485900"/>
    <n v="141"/>
    <n v="0"/>
    <n v="136"/>
    <n v="132"/>
    <n v="123"/>
    <n v="1"/>
    <x v="3"/>
    <x v="9"/>
    <n v="4"/>
    <n v="3"/>
    <x v="0"/>
  </r>
  <r>
    <d v="2019-08-12T00:00:00"/>
    <n v="143"/>
    <n v="143"/>
    <n v="142"/>
    <n v="142"/>
    <n v="15264000"/>
    <n v="143"/>
    <n v="1"/>
    <n v="136"/>
    <n v="132"/>
    <n v="124"/>
    <n v="1"/>
    <x v="3"/>
    <x v="9"/>
    <n v="0"/>
    <n v="3"/>
    <x v="0"/>
  </r>
  <r>
    <d v="2019-08-13T00:00:00"/>
    <n v="142"/>
    <n v="143"/>
    <n v="139"/>
    <n v="143"/>
    <n v="29842800"/>
    <n v="142"/>
    <n v="-1"/>
    <n v="137"/>
    <n v="133"/>
    <n v="124"/>
    <n v="1"/>
    <x v="3"/>
    <x v="9"/>
    <n v="1"/>
    <n v="3"/>
    <x v="0"/>
  </r>
  <r>
    <d v="2019-08-14T00:00:00"/>
    <n v="143"/>
    <n v="144"/>
    <n v="142"/>
    <n v="143"/>
    <n v="20672900"/>
    <n v="143"/>
    <n v="1"/>
    <n v="137"/>
    <n v="133"/>
    <n v="124"/>
    <n v="1"/>
    <x v="3"/>
    <x v="9"/>
    <n v="2"/>
    <n v="3"/>
    <x v="0"/>
  </r>
  <r>
    <d v="2019-08-15T00:00:00"/>
    <n v="144"/>
    <n v="144"/>
    <n v="143"/>
    <n v="143"/>
    <n v="13467800"/>
    <n v="144"/>
    <n v="1"/>
    <n v="138"/>
    <n v="133"/>
    <n v="124"/>
    <n v="1"/>
    <x v="3"/>
    <x v="9"/>
    <n v="3"/>
    <n v="3"/>
    <x v="0"/>
  </r>
  <r>
    <d v="2019-08-16T00:00:00"/>
    <n v="143"/>
    <n v="143"/>
    <n v="142"/>
    <n v="143"/>
    <n v="11728800"/>
    <n v="143"/>
    <n v="-1"/>
    <n v="138"/>
    <n v="134"/>
    <n v="124"/>
    <n v="1"/>
    <x v="3"/>
    <x v="9"/>
    <n v="4"/>
    <n v="3"/>
    <x v="0"/>
  </r>
  <r>
    <d v="2019-08-19T00:00:00"/>
    <n v="141"/>
    <n v="142"/>
    <n v="141"/>
    <n v="141"/>
    <n v="10552700"/>
    <n v="141"/>
    <n v="-1"/>
    <n v="138"/>
    <n v="134"/>
    <n v="124"/>
    <n v="1"/>
    <x v="3"/>
    <x v="9"/>
    <n v="0"/>
    <n v="3"/>
    <x v="0"/>
  </r>
  <r>
    <d v="2019-08-20T00:00:00"/>
    <n v="142"/>
    <n v="142"/>
    <n v="142"/>
    <n v="142"/>
    <n v="7478500"/>
    <n v="142"/>
    <n v="1"/>
    <n v="139"/>
    <n v="134"/>
    <n v="124"/>
    <n v="1"/>
    <x v="3"/>
    <x v="9"/>
    <n v="1"/>
    <n v="3"/>
    <x v="0"/>
  </r>
  <r>
    <d v="2019-08-21T00:00:00"/>
    <n v="142"/>
    <n v="142"/>
    <n v="141"/>
    <n v="142"/>
    <n v="8114700"/>
    <n v="142"/>
    <n v="0"/>
    <n v="139"/>
    <n v="135"/>
    <n v="125"/>
    <n v="1"/>
    <x v="3"/>
    <x v="9"/>
    <n v="2"/>
    <n v="3"/>
    <x v="0"/>
  </r>
  <r>
    <d v="2019-08-22T00:00:00"/>
    <n v="141"/>
    <n v="142"/>
    <n v="141"/>
    <n v="141"/>
    <n v="6846500"/>
    <n v="141"/>
    <n v="0"/>
    <n v="139"/>
    <n v="135"/>
    <n v="125"/>
    <n v="1"/>
    <x v="3"/>
    <x v="9"/>
    <n v="3"/>
    <n v="3"/>
    <x v="0"/>
  </r>
  <r>
    <d v="2019-08-23T00:00:00"/>
    <n v="144"/>
    <n v="144"/>
    <n v="142"/>
    <n v="142"/>
    <n v="20282200"/>
    <n v="144"/>
    <n v="2"/>
    <n v="140"/>
    <n v="135"/>
    <n v="125"/>
    <n v="1"/>
    <x v="3"/>
    <x v="9"/>
    <n v="4"/>
    <n v="3"/>
    <x v="0"/>
  </r>
  <r>
    <d v="2019-08-26T00:00:00"/>
    <n v="144"/>
    <n v="145"/>
    <n v="144"/>
    <n v="144"/>
    <n v="12195800"/>
    <n v="144"/>
    <n v="0"/>
    <n v="140"/>
    <n v="136"/>
    <n v="125"/>
    <n v="1"/>
    <x v="3"/>
    <x v="9"/>
    <n v="0"/>
    <n v="3"/>
    <x v="0"/>
  </r>
  <r>
    <d v="2019-08-27T00:00:00"/>
    <n v="146"/>
    <n v="146"/>
    <n v="144"/>
    <n v="144"/>
    <n v="12844100"/>
    <n v="146"/>
    <n v="1"/>
    <n v="141"/>
    <n v="136"/>
    <n v="125"/>
    <n v="1"/>
    <x v="3"/>
    <x v="9"/>
    <n v="1"/>
    <n v="3"/>
    <x v="0"/>
  </r>
  <r>
    <d v="2019-08-28T00:00:00"/>
    <n v="145"/>
    <n v="146"/>
    <n v="145"/>
    <n v="145"/>
    <n v="11452400"/>
    <n v="145"/>
    <n v="0"/>
    <n v="142"/>
    <n v="137"/>
    <n v="125"/>
    <n v="1"/>
    <x v="3"/>
    <x v="9"/>
    <n v="2"/>
    <n v="3"/>
    <x v="0"/>
  </r>
  <r>
    <d v="2019-08-29T00:00:00"/>
    <n v="144"/>
    <n v="145"/>
    <n v="143"/>
    <n v="145"/>
    <n v="14762500"/>
    <n v="144"/>
    <n v="-1"/>
    <n v="142"/>
    <n v="137"/>
    <n v="125"/>
    <n v="1"/>
    <x v="3"/>
    <x v="9"/>
    <n v="3"/>
    <n v="3"/>
    <x v="0"/>
  </r>
  <r>
    <d v="2019-08-30T00:00:00"/>
    <n v="144"/>
    <n v="145"/>
    <n v="143"/>
    <n v="144"/>
    <n v="9642200"/>
    <n v="144"/>
    <n v="0"/>
    <n v="142"/>
    <n v="137"/>
    <n v="126"/>
    <n v="1"/>
    <x v="3"/>
    <x v="9"/>
    <n v="4"/>
    <n v="3"/>
    <x v="0"/>
  </r>
  <r>
    <d v="2019-09-03T00:00:00"/>
    <n v="146"/>
    <n v="146"/>
    <n v="145"/>
    <n v="145"/>
    <n v="15615200"/>
    <n v="146"/>
    <n v="1"/>
    <n v="143"/>
    <n v="137"/>
    <n v="126"/>
    <n v="1"/>
    <x v="3"/>
    <x v="10"/>
    <n v="1"/>
    <n v="3"/>
    <x v="0"/>
  </r>
  <r>
    <d v="2019-09-04T00:00:00"/>
    <n v="147"/>
    <n v="147"/>
    <n v="146"/>
    <n v="146"/>
    <n v="11285900"/>
    <n v="147"/>
    <n v="1"/>
    <n v="143"/>
    <n v="138"/>
    <n v="126"/>
    <n v="1"/>
    <x v="3"/>
    <x v="10"/>
    <n v="2"/>
    <n v="3"/>
    <x v="0"/>
  </r>
  <r>
    <d v="2019-09-05T00:00:00"/>
    <n v="143"/>
    <n v="145"/>
    <n v="142"/>
    <n v="145"/>
    <n v="20293200"/>
    <n v="143"/>
    <n v="-2"/>
    <n v="143"/>
    <n v="138"/>
    <n v="126"/>
    <n v="1"/>
    <x v="3"/>
    <x v="10"/>
    <n v="3"/>
    <n v="3"/>
    <x v="0"/>
  </r>
  <r>
    <d v="2019-09-06T00:00:00"/>
    <n v="142"/>
    <n v="144"/>
    <n v="142"/>
    <n v="144"/>
    <n v="14175200"/>
    <n v="142"/>
    <n v="-1"/>
    <n v="143"/>
    <n v="138"/>
    <n v="126"/>
    <n v="1"/>
    <x v="3"/>
    <x v="10"/>
    <n v="4"/>
    <n v="3"/>
    <x v="0"/>
  </r>
  <r>
    <d v="2019-09-09T00:00:00"/>
    <n v="141"/>
    <n v="142"/>
    <n v="141"/>
    <n v="142"/>
    <n v="11323800"/>
    <n v="141"/>
    <n v="0"/>
    <n v="143"/>
    <n v="138"/>
    <n v="126"/>
    <n v="1"/>
    <x v="3"/>
    <x v="10"/>
    <n v="0"/>
    <n v="3"/>
    <x v="0"/>
  </r>
  <r>
    <d v="2019-09-10T00:00:00"/>
    <n v="140"/>
    <n v="142"/>
    <n v="140"/>
    <n v="141"/>
    <n v="12629200"/>
    <n v="140"/>
    <n v="-1"/>
    <n v="143"/>
    <n v="138"/>
    <n v="126"/>
    <n v="1"/>
    <x v="3"/>
    <x v="10"/>
    <n v="1"/>
    <n v="3"/>
    <x v="0"/>
  </r>
  <r>
    <d v="2019-09-11T00:00:00"/>
    <n v="141"/>
    <n v="141"/>
    <n v="140"/>
    <n v="140"/>
    <n v="7453000"/>
    <n v="141"/>
    <n v="1"/>
    <n v="143"/>
    <n v="139"/>
    <n v="127"/>
    <n v="1"/>
    <x v="3"/>
    <x v="10"/>
    <n v="2"/>
    <n v="3"/>
    <x v="0"/>
  </r>
  <r>
    <d v="2019-09-12T00:00:00"/>
    <n v="141"/>
    <n v="143"/>
    <n v="141"/>
    <n v="143"/>
    <n v="12673700"/>
    <n v="141"/>
    <n v="0"/>
    <n v="143"/>
    <n v="139"/>
    <n v="127"/>
    <n v="1"/>
    <x v="3"/>
    <x v="10"/>
    <n v="3"/>
    <n v="3"/>
    <x v="0"/>
  </r>
  <r>
    <d v="2019-09-13T00:00:00"/>
    <n v="140"/>
    <n v="142"/>
    <n v="140"/>
    <n v="142"/>
    <n v="13451700"/>
    <n v="140"/>
    <n v="-1"/>
    <n v="143"/>
    <n v="139"/>
    <n v="127"/>
    <n v="1"/>
    <x v="3"/>
    <x v="10"/>
    <n v="4"/>
    <n v="3"/>
    <x v="0"/>
  </r>
  <r>
    <d v="2019-09-16T00:00:00"/>
    <n v="141"/>
    <n v="142"/>
    <n v="141"/>
    <n v="142"/>
    <n v="8094600"/>
    <n v="141"/>
    <n v="1"/>
    <n v="143"/>
    <n v="139"/>
    <n v="127"/>
    <n v="1"/>
    <x v="3"/>
    <x v="10"/>
    <n v="0"/>
    <n v="3"/>
    <x v="0"/>
  </r>
  <r>
    <d v="2019-09-17T00:00:00"/>
    <n v="142"/>
    <n v="142"/>
    <n v="141"/>
    <n v="142"/>
    <n v="7010200"/>
    <n v="142"/>
    <n v="0"/>
    <n v="143"/>
    <n v="139"/>
    <n v="127"/>
    <n v="1"/>
    <x v="3"/>
    <x v="10"/>
    <n v="1"/>
    <n v="3"/>
    <x v="0"/>
  </r>
  <r>
    <d v="2019-09-18T00:00:00"/>
    <n v="141"/>
    <n v="143"/>
    <n v="140"/>
    <n v="142"/>
    <n v="15026300"/>
    <n v="141"/>
    <n v="-1"/>
    <n v="143"/>
    <n v="139"/>
    <n v="127"/>
    <n v="1"/>
    <x v="3"/>
    <x v="10"/>
    <n v="2"/>
    <n v="3"/>
    <x v="0"/>
  </r>
  <r>
    <d v="2019-09-19T00:00:00"/>
    <n v="141"/>
    <n v="142"/>
    <n v="141"/>
    <n v="142"/>
    <n v="8057400"/>
    <n v="141"/>
    <n v="0"/>
    <n v="143"/>
    <n v="140"/>
    <n v="127"/>
    <n v="1"/>
    <x v="3"/>
    <x v="10"/>
    <n v="3"/>
    <n v="3"/>
    <x v="0"/>
  </r>
  <r>
    <d v="2019-09-20T00:00:00"/>
    <n v="143"/>
    <n v="143"/>
    <n v="141"/>
    <n v="142"/>
    <n v="12110000"/>
    <n v="143"/>
    <n v="1"/>
    <n v="143"/>
    <n v="140"/>
    <n v="127"/>
    <n v="1"/>
    <x v="3"/>
    <x v="10"/>
    <n v="4"/>
    <n v="3"/>
    <x v="0"/>
  </r>
  <r>
    <d v="2019-09-23T00:00:00"/>
    <n v="144"/>
    <n v="144"/>
    <n v="143"/>
    <n v="143"/>
    <n v="9006500"/>
    <n v="144"/>
    <n v="1"/>
    <n v="143"/>
    <n v="140"/>
    <n v="128"/>
    <n v="1"/>
    <x v="3"/>
    <x v="10"/>
    <n v="0"/>
    <n v="3"/>
    <x v="0"/>
  </r>
  <r>
    <d v="2019-09-24T00:00:00"/>
    <n v="145"/>
    <n v="145"/>
    <n v="143"/>
    <n v="143"/>
    <n v="10576300"/>
    <n v="145"/>
    <n v="1"/>
    <n v="143"/>
    <n v="140"/>
    <n v="128"/>
    <n v="1"/>
    <x v="3"/>
    <x v="10"/>
    <n v="1"/>
    <n v="3"/>
    <x v="0"/>
  </r>
  <r>
    <d v="2019-09-25T00:00:00"/>
    <n v="142"/>
    <n v="144"/>
    <n v="141"/>
    <n v="144"/>
    <n v="11648400"/>
    <n v="142"/>
    <n v="-2"/>
    <n v="143"/>
    <n v="140"/>
    <n v="128"/>
    <n v="1"/>
    <x v="3"/>
    <x v="10"/>
    <n v="2"/>
    <n v="3"/>
    <x v="0"/>
  </r>
  <r>
    <d v="2019-09-26T00:00:00"/>
    <n v="142"/>
    <n v="143"/>
    <n v="142"/>
    <n v="142"/>
    <n v="7984600"/>
    <n v="142"/>
    <n v="0"/>
    <n v="142"/>
    <n v="140"/>
    <n v="128"/>
    <n v="1"/>
    <x v="3"/>
    <x v="10"/>
    <n v="3"/>
    <n v="3"/>
    <x v="0"/>
  </r>
  <r>
    <d v="2019-09-27T00:00:00"/>
    <n v="141"/>
    <n v="142"/>
    <n v="140"/>
    <n v="140"/>
    <n v="9804200"/>
    <n v="141"/>
    <n v="-1"/>
    <n v="142"/>
    <n v="141"/>
    <n v="128"/>
    <n v="1"/>
    <x v="3"/>
    <x v="10"/>
    <n v="4"/>
    <n v="3"/>
    <x v="0"/>
  </r>
  <r>
    <d v="2019-09-30T00:00:00"/>
    <n v="139"/>
    <n v="140"/>
    <n v="138"/>
    <n v="140"/>
    <n v="15459100"/>
    <n v="139"/>
    <n v="-2"/>
    <n v="142"/>
    <n v="141"/>
    <n v="128"/>
    <n v="1"/>
    <x v="3"/>
    <x v="10"/>
    <n v="0"/>
    <n v="3"/>
    <x v="0"/>
  </r>
  <r>
    <d v="2019-10-01T00:00:00"/>
    <n v="140"/>
    <n v="140"/>
    <n v="138"/>
    <n v="138"/>
    <n v="12476200"/>
    <n v="140"/>
    <n v="1"/>
    <n v="142"/>
    <n v="141"/>
    <n v="128"/>
    <n v="1"/>
    <x v="3"/>
    <x v="11"/>
    <n v="1"/>
    <n v="4"/>
    <x v="0"/>
  </r>
  <r>
    <d v="2019-10-02T00:00:00"/>
    <n v="141"/>
    <n v="142"/>
    <n v="140"/>
    <n v="141"/>
    <n v="11914300"/>
    <n v="141"/>
    <n v="1"/>
    <n v="141"/>
    <n v="141"/>
    <n v="128"/>
    <n v="1"/>
    <x v="3"/>
    <x v="11"/>
    <n v="2"/>
    <n v="4"/>
    <x v="0"/>
  </r>
  <r>
    <d v="2019-10-03T00:00:00"/>
    <n v="142"/>
    <n v="143"/>
    <n v="141"/>
    <n v="141"/>
    <n v="12396100"/>
    <n v="142"/>
    <n v="0"/>
    <n v="141"/>
    <n v="141"/>
    <n v="128"/>
    <n v="1"/>
    <x v="3"/>
    <x v="11"/>
    <n v="3"/>
    <n v="4"/>
    <x v="0"/>
  </r>
  <r>
    <d v="2019-10-04T00:00:00"/>
    <n v="142"/>
    <n v="142"/>
    <n v="141"/>
    <n v="141"/>
    <n v="9651000"/>
    <n v="142"/>
    <n v="0"/>
    <n v="141"/>
    <n v="141"/>
    <n v="129"/>
    <n v="1"/>
    <x v="3"/>
    <x v="11"/>
    <n v="4"/>
    <n v="4"/>
    <x v="0"/>
  </r>
  <r>
    <d v="2019-10-07T00:00:00"/>
    <n v="141"/>
    <n v="142"/>
    <n v="140"/>
    <n v="141"/>
    <n v="6127200"/>
    <n v="141"/>
    <n v="-1"/>
    <n v="141"/>
    <n v="141"/>
    <n v="129"/>
    <n v="1"/>
    <x v="3"/>
    <x v="11"/>
    <n v="0"/>
    <n v="4"/>
    <x v="0"/>
  </r>
  <r>
    <d v="2019-10-08T00:00:00"/>
    <n v="142"/>
    <n v="142"/>
    <n v="141"/>
    <n v="142"/>
    <n v="10428900"/>
    <n v="142"/>
    <n v="1"/>
    <n v="141"/>
    <n v="142"/>
    <n v="129"/>
    <n v="1"/>
    <x v="3"/>
    <x v="11"/>
    <n v="1"/>
    <n v="4"/>
    <x v="0"/>
  </r>
  <r>
    <d v="2019-10-09T00:00:00"/>
    <n v="142"/>
    <n v="143"/>
    <n v="142"/>
    <n v="142"/>
    <n v="6927700"/>
    <n v="142"/>
    <n v="0"/>
    <n v="142"/>
    <n v="142"/>
    <n v="129"/>
    <n v="1"/>
    <x v="3"/>
    <x v="11"/>
    <n v="2"/>
    <n v="4"/>
    <x v="0"/>
  </r>
  <r>
    <d v="2019-10-10T00:00:00"/>
    <n v="141"/>
    <n v="142"/>
    <n v="141"/>
    <n v="142"/>
    <n v="9301700"/>
    <n v="141"/>
    <n v="-1"/>
    <n v="141"/>
    <n v="142"/>
    <n v="129"/>
    <n v="1"/>
    <x v="3"/>
    <x v="11"/>
    <n v="3"/>
    <n v="4"/>
    <x v="0"/>
  </r>
  <r>
    <d v="2019-10-11T00:00:00"/>
    <n v="140"/>
    <n v="140"/>
    <n v="139"/>
    <n v="140"/>
    <n v="11333400"/>
    <n v="140"/>
    <n v="-1"/>
    <n v="141"/>
    <n v="142"/>
    <n v="129"/>
    <n v="1"/>
    <x v="3"/>
    <x v="11"/>
    <n v="4"/>
    <n v="4"/>
    <x v="0"/>
  </r>
  <r>
    <d v="2019-10-14T00:00:00"/>
    <n v="141"/>
    <n v="141"/>
    <n v="140"/>
    <n v="140"/>
    <n v="4006700"/>
    <n v="141"/>
    <n v="0"/>
    <n v="141"/>
    <n v="142"/>
    <n v="129"/>
    <n v="1"/>
    <x v="3"/>
    <x v="11"/>
    <n v="0"/>
    <n v="4"/>
    <x v="0"/>
  </r>
  <r>
    <d v="2019-10-15T00:00:00"/>
    <n v="140"/>
    <n v="140"/>
    <n v="139"/>
    <n v="140"/>
    <n v="9128300"/>
    <n v="140"/>
    <n v="-1"/>
    <n v="141"/>
    <n v="142"/>
    <n v="129"/>
    <n v="1"/>
    <x v="3"/>
    <x v="11"/>
    <n v="1"/>
    <n v="4"/>
    <x v="0"/>
  </r>
  <r>
    <d v="2019-10-16T00:00:00"/>
    <n v="140"/>
    <n v="141"/>
    <n v="140"/>
    <n v="140"/>
    <n v="10330300"/>
    <n v="140"/>
    <n v="1"/>
    <n v="141"/>
    <n v="142"/>
    <n v="129"/>
    <n v="1"/>
    <x v="3"/>
    <x v="11"/>
    <n v="2"/>
    <n v="4"/>
    <x v="0"/>
  </r>
  <r>
    <d v="2019-10-17T00:00:00"/>
    <n v="141"/>
    <n v="141"/>
    <n v="140"/>
    <n v="141"/>
    <n v="6131000"/>
    <n v="141"/>
    <n v="0"/>
    <n v="141"/>
    <n v="142"/>
    <n v="130"/>
    <n v="1"/>
    <x v="3"/>
    <x v="11"/>
    <n v="3"/>
    <n v="4"/>
    <x v="0"/>
  </r>
  <r>
    <d v="2019-10-18T00:00:00"/>
    <n v="140"/>
    <n v="141"/>
    <n v="140"/>
    <n v="141"/>
    <n v="6416100"/>
    <n v="140"/>
    <n v="0"/>
    <n v="141"/>
    <n v="142"/>
    <n v="130"/>
    <n v="1"/>
    <x v="3"/>
    <x v="11"/>
    <n v="4"/>
    <n v="4"/>
    <x v="0"/>
  </r>
  <r>
    <d v="2019-10-21T00:00:00"/>
    <n v="140"/>
    <n v="141"/>
    <n v="140"/>
    <n v="141"/>
    <n v="8306200"/>
    <n v="140"/>
    <n v="0"/>
    <n v="141"/>
    <n v="142"/>
    <n v="130"/>
    <n v="1"/>
    <x v="3"/>
    <x v="11"/>
    <n v="0"/>
    <n v="4"/>
    <x v="0"/>
  </r>
  <r>
    <d v="2019-10-22T00:00:00"/>
    <n v="140"/>
    <n v="140"/>
    <n v="140"/>
    <n v="140"/>
    <n v="3879700"/>
    <n v="140"/>
    <n v="0"/>
    <n v="141"/>
    <n v="142"/>
    <n v="130"/>
    <n v="1"/>
    <x v="3"/>
    <x v="11"/>
    <n v="1"/>
    <n v="4"/>
    <x v="0"/>
  </r>
  <r>
    <d v="2019-10-23T00:00:00"/>
    <n v="141"/>
    <n v="141"/>
    <n v="141"/>
    <n v="141"/>
    <n v="4155300"/>
    <n v="141"/>
    <n v="0"/>
    <n v="141"/>
    <n v="142"/>
    <n v="130"/>
    <n v="1"/>
    <x v="3"/>
    <x v="11"/>
    <n v="2"/>
    <n v="4"/>
    <x v="0"/>
  </r>
  <r>
    <d v="2019-10-24T00:00:00"/>
    <n v="142"/>
    <n v="142"/>
    <n v="141"/>
    <n v="141"/>
    <n v="6174800"/>
    <n v="142"/>
    <n v="1"/>
    <n v="141"/>
    <n v="142"/>
    <n v="130"/>
    <n v="1"/>
    <x v="3"/>
    <x v="11"/>
    <n v="3"/>
    <n v="4"/>
    <x v="0"/>
  </r>
  <r>
    <d v="2019-10-25T00:00:00"/>
    <n v="142"/>
    <n v="143"/>
    <n v="141"/>
    <n v="143"/>
    <n v="6011500"/>
    <n v="142"/>
    <n v="0"/>
    <n v="141"/>
    <n v="142"/>
    <n v="130"/>
    <n v="1"/>
    <x v="3"/>
    <x v="11"/>
    <n v="4"/>
    <n v="4"/>
    <x v="0"/>
  </r>
  <r>
    <d v="2019-10-28T00:00:00"/>
    <n v="141"/>
    <n v="141"/>
    <n v="140"/>
    <n v="141"/>
    <n v="5442000"/>
    <n v="141"/>
    <n v="-1"/>
    <n v="141"/>
    <n v="142"/>
    <n v="130"/>
    <n v="1"/>
    <x v="3"/>
    <x v="11"/>
    <n v="0"/>
    <n v="4"/>
    <x v="0"/>
  </r>
  <r>
    <d v="2019-10-29T00:00:00"/>
    <n v="140"/>
    <n v="141"/>
    <n v="140"/>
    <n v="140"/>
    <n v="3835400"/>
    <n v="140"/>
    <n v="0"/>
    <n v="141"/>
    <n v="142"/>
    <n v="130"/>
    <n v="1"/>
    <x v="3"/>
    <x v="11"/>
    <n v="1"/>
    <n v="4"/>
    <x v="0"/>
  </r>
  <r>
    <d v="2019-10-30T00:00:00"/>
    <n v="141"/>
    <n v="141"/>
    <n v="140"/>
    <n v="141"/>
    <n v="6992900"/>
    <n v="141"/>
    <n v="1"/>
    <n v="141"/>
    <n v="142"/>
    <n v="130"/>
    <n v="1"/>
    <x v="3"/>
    <x v="11"/>
    <n v="2"/>
    <n v="4"/>
    <x v="0"/>
  </r>
  <r>
    <d v="2019-10-31T00:00:00"/>
    <n v="142"/>
    <n v="143"/>
    <n v="142"/>
    <n v="142"/>
    <n v="7050900"/>
    <n v="142"/>
    <n v="1"/>
    <n v="141"/>
    <n v="142"/>
    <n v="130"/>
    <n v="1"/>
    <x v="3"/>
    <x v="11"/>
    <n v="3"/>
    <n v="4"/>
    <x v="0"/>
  </r>
  <r>
    <d v="2019-11-01T00:00:00"/>
    <n v="143"/>
    <n v="143"/>
    <n v="142"/>
    <n v="142"/>
    <n v="8090000"/>
    <n v="143"/>
    <n v="0"/>
    <n v="141"/>
    <n v="142"/>
    <n v="131"/>
    <n v="1"/>
    <x v="3"/>
    <x v="0"/>
    <n v="4"/>
    <n v="4"/>
    <x v="0"/>
  </r>
  <r>
    <d v="2019-11-04T00:00:00"/>
    <n v="142"/>
    <n v="142"/>
    <n v="142"/>
    <n v="142"/>
    <n v="4740300"/>
    <n v="142"/>
    <n v="0"/>
    <n v="141"/>
    <n v="142"/>
    <n v="131"/>
    <n v="1"/>
    <x v="3"/>
    <x v="0"/>
    <n v="0"/>
    <n v="4"/>
    <x v="0"/>
  </r>
  <r>
    <d v="2019-11-05T00:00:00"/>
    <n v="140"/>
    <n v="141"/>
    <n v="139"/>
    <n v="141"/>
    <n v="11782300"/>
    <n v="140"/>
    <n v="-2"/>
    <n v="141"/>
    <n v="142"/>
    <n v="131"/>
    <n v="1"/>
    <x v="3"/>
    <x v="0"/>
    <n v="1"/>
    <n v="4"/>
    <x v="0"/>
  </r>
  <r>
    <d v="2019-11-06T00:00:00"/>
    <n v="140"/>
    <n v="141"/>
    <n v="140"/>
    <n v="140"/>
    <n v="6416500"/>
    <n v="140"/>
    <n v="0"/>
    <n v="141"/>
    <n v="142"/>
    <n v="131"/>
    <n v="1"/>
    <x v="3"/>
    <x v="0"/>
    <n v="2"/>
    <n v="4"/>
    <x v="0"/>
  </r>
  <r>
    <d v="2019-11-07T00:00:00"/>
    <n v="138"/>
    <n v="140"/>
    <n v="138"/>
    <n v="140"/>
    <n v="15214200"/>
    <n v="138"/>
    <n v="-2"/>
    <n v="141"/>
    <n v="141"/>
    <n v="131"/>
    <n v="1"/>
    <x v="3"/>
    <x v="0"/>
    <n v="3"/>
    <n v="4"/>
    <x v="0"/>
  </r>
  <r>
    <d v="2019-11-08T00:00:00"/>
    <n v="137"/>
    <n v="138"/>
    <n v="137"/>
    <n v="138"/>
    <n v="10377400"/>
    <n v="137"/>
    <n v="-1"/>
    <n v="141"/>
    <n v="141"/>
    <n v="131"/>
    <n v="1"/>
    <x v="3"/>
    <x v="0"/>
    <n v="4"/>
    <n v="4"/>
    <x v="0"/>
  </r>
  <r>
    <d v="2019-11-11T00:00:00"/>
    <n v="137"/>
    <n v="138"/>
    <n v="136"/>
    <n v="138"/>
    <n v="7037300"/>
    <n v="137"/>
    <n v="0"/>
    <n v="140"/>
    <n v="141"/>
    <n v="131"/>
    <n v="1"/>
    <x v="3"/>
    <x v="0"/>
    <n v="0"/>
    <n v="4"/>
    <x v="0"/>
  </r>
  <r>
    <d v="2019-11-12T00:00:00"/>
    <n v="137"/>
    <n v="138"/>
    <n v="136"/>
    <n v="137"/>
    <n v="6448600"/>
    <n v="137"/>
    <n v="0"/>
    <n v="140"/>
    <n v="141"/>
    <n v="131"/>
    <n v="1"/>
    <x v="3"/>
    <x v="0"/>
    <n v="1"/>
    <n v="4"/>
    <x v="0"/>
  </r>
  <r>
    <d v="2019-11-13T00:00:00"/>
    <n v="138"/>
    <n v="138"/>
    <n v="138"/>
    <n v="138"/>
    <n v="8776000"/>
    <n v="138"/>
    <n v="0"/>
    <n v="140"/>
    <n v="141"/>
    <n v="131"/>
    <n v="1"/>
    <x v="3"/>
    <x v="0"/>
    <n v="2"/>
    <n v="4"/>
    <x v="0"/>
  </r>
  <r>
    <d v="2019-11-14T00:00:00"/>
    <n v="139"/>
    <n v="139"/>
    <n v="138"/>
    <n v="138"/>
    <n v="5220500"/>
    <n v="139"/>
    <n v="0"/>
    <n v="140"/>
    <n v="141"/>
    <n v="131"/>
    <n v="1"/>
    <x v="3"/>
    <x v="0"/>
    <n v="3"/>
    <n v="4"/>
    <x v="0"/>
  </r>
  <r>
    <d v="2019-11-15T00:00:00"/>
    <n v="138"/>
    <n v="138"/>
    <n v="138"/>
    <n v="138"/>
    <n v="10106700"/>
    <n v="138"/>
    <n v="0"/>
    <n v="140"/>
    <n v="141"/>
    <n v="131"/>
    <n v="1"/>
    <x v="3"/>
    <x v="0"/>
    <n v="4"/>
    <n v="4"/>
    <x v="0"/>
  </r>
  <r>
    <d v="2019-11-18T00:00:00"/>
    <n v="139"/>
    <n v="139"/>
    <n v="138"/>
    <n v="138"/>
    <n v="5717900"/>
    <n v="139"/>
    <n v="0"/>
    <n v="140"/>
    <n v="141"/>
    <n v="131"/>
    <n v="1"/>
    <x v="3"/>
    <x v="0"/>
    <n v="0"/>
    <n v="4"/>
    <x v="0"/>
  </r>
  <r>
    <d v="2019-11-19T00:00:00"/>
    <n v="139"/>
    <n v="139"/>
    <n v="138"/>
    <n v="138"/>
    <n v="4824400"/>
    <n v="139"/>
    <n v="0"/>
    <n v="140"/>
    <n v="141"/>
    <n v="132"/>
    <n v="1"/>
    <x v="3"/>
    <x v="0"/>
    <n v="1"/>
    <n v="4"/>
    <x v="0"/>
  </r>
  <r>
    <d v="2019-11-20T00:00:00"/>
    <n v="139"/>
    <n v="139"/>
    <n v="138"/>
    <n v="139"/>
    <n v="6892100"/>
    <n v="139"/>
    <n v="0"/>
    <n v="140"/>
    <n v="141"/>
    <n v="132"/>
    <n v="1"/>
    <x v="3"/>
    <x v="0"/>
    <n v="2"/>
    <n v="4"/>
    <x v="0"/>
  </r>
  <r>
    <d v="2019-11-21T00:00:00"/>
    <n v="138"/>
    <n v="139"/>
    <n v="138"/>
    <n v="138"/>
    <n v="4197200"/>
    <n v="138"/>
    <n v="-1"/>
    <n v="140"/>
    <n v="140"/>
    <n v="132"/>
    <n v="1"/>
    <x v="3"/>
    <x v="0"/>
    <n v="3"/>
    <n v="4"/>
    <x v="0"/>
  </r>
  <r>
    <d v="2019-11-22T00:00:00"/>
    <n v="138"/>
    <n v="138"/>
    <n v="138"/>
    <n v="138"/>
    <n v="3620300"/>
    <n v="138"/>
    <n v="0"/>
    <n v="139"/>
    <n v="140"/>
    <n v="132"/>
    <n v="1"/>
    <x v="3"/>
    <x v="0"/>
    <n v="4"/>
    <n v="4"/>
    <x v="0"/>
  </r>
  <r>
    <d v="2019-11-25T00:00:00"/>
    <n v="137"/>
    <n v="138"/>
    <n v="137"/>
    <n v="137"/>
    <n v="6415800"/>
    <n v="137"/>
    <n v="0"/>
    <n v="139"/>
    <n v="140"/>
    <n v="132"/>
    <n v="1"/>
    <x v="3"/>
    <x v="0"/>
    <n v="0"/>
    <n v="4"/>
    <x v="0"/>
  </r>
  <r>
    <d v="2019-11-26T00:00:00"/>
    <n v="138"/>
    <n v="138"/>
    <n v="137"/>
    <n v="137"/>
    <n v="4724400"/>
    <n v="138"/>
    <n v="0"/>
    <n v="139"/>
    <n v="140"/>
    <n v="132"/>
    <n v="1"/>
    <x v="3"/>
    <x v="0"/>
    <n v="1"/>
    <n v="4"/>
    <x v="0"/>
  </r>
  <r>
    <d v="2019-11-27T00:00:00"/>
    <n v="137"/>
    <n v="137"/>
    <n v="137"/>
    <n v="137"/>
    <n v="4111000"/>
    <n v="137"/>
    <n v="-1"/>
    <n v="139"/>
    <n v="140"/>
    <n v="132"/>
    <n v="1"/>
    <x v="3"/>
    <x v="0"/>
    <n v="2"/>
    <n v="4"/>
    <x v="0"/>
  </r>
  <r>
    <d v="2019-11-29T00:00:00"/>
    <n v="138"/>
    <n v="138"/>
    <n v="137"/>
    <n v="137"/>
    <n v="4516400"/>
    <n v="138"/>
    <n v="1"/>
    <n v="139"/>
    <n v="140"/>
    <n v="132"/>
    <n v="1"/>
    <x v="3"/>
    <x v="0"/>
    <n v="4"/>
    <n v="4"/>
    <x v="0"/>
  </r>
  <r>
    <d v="2019-12-02T00:00:00"/>
    <n v="138"/>
    <n v="138"/>
    <n v="137"/>
    <n v="137"/>
    <n v="8274700"/>
    <n v="138"/>
    <n v="0"/>
    <n v="138"/>
    <n v="140"/>
    <n v="132"/>
    <n v="1"/>
    <x v="3"/>
    <x v="1"/>
    <n v="0"/>
    <n v="4"/>
    <x v="0"/>
  </r>
  <r>
    <d v="2019-12-03T00:00:00"/>
    <n v="139"/>
    <n v="140"/>
    <n v="139"/>
    <n v="139"/>
    <n v="8481700"/>
    <n v="139"/>
    <n v="1"/>
    <n v="138"/>
    <n v="140"/>
    <n v="132"/>
    <n v="1"/>
    <x v="3"/>
    <x v="1"/>
    <n v="1"/>
    <n v="4"/>
    <x v="0"/>
  </r>
  <r>
    <d v="2019-12-04T00:00:00"/>
    <n v="139"/>
    <n v="139"/>
    <n v="139"/>
    <n v="139"/>
    <n v="6322300"/>
    <n v="139"/>
    <n v="0"/>
    <n v="138"/>
    <n v="140"/>
    <n v="132"/>
    <n v="1"/>
    <x v="3"/>
    <x v="1"/>
    <n v="2"/>
    <n v="4"/>
    <x v="0"/>
  </r>
  <r>
    <d v="2019-12-05T00:00:00"/>
    <n v="139"/>
    <n v="139"/>
    <n v="139"/>
    <n v="139"/>
    <n v="5671500"/>
    <n v="139"/>
    <n v="0"/>
    <n v="138"/>
    <n v="140"/>
    <n v="132"/>
    <n v="1"/>
    <x v="3"/>
    <x v="1"/>
    <n v="3"/>
    <n v="4"/>
    <x v="0"/>
  </r>
  <r>
    <d v="2019-12-06T00:00:00"/>
    <n v="138"/>
    <n v="138"/>
    <n v="137"/>
    <n v="138"/>
    <n v="8714500"/>
    <n v="138"/>
    <n v="-1"/>
    <n v="138"/>
    <n v="140"/>
    <n v="132"/>
    <n v="0"/>
    <x v="3"/>
    <x v="1"/>
    <n v="4"/>
    <n v="4"/>
    <x v="0"/>
  </r>
  <r>
    <d v="2019-12-09T00:00:00"/>
    <n v="138"/>
    <n v="138"/>
    <n v="137"/>
    <n v="138"/>
    <n v="2711600"/>
    <n v="138"/>
    <n v="0"/>
    <n v="138"/>
    <n v="140"/>
    <n v="132"/>
    <n v="0"/>
    <x v="3"/>
    <x v="1"/>
    <n v="0"/>
    <n v="4"/>
    <x v="0"/>
  </r>
  <r>
    <d v="2019-12-10T00:00:00"/>
    <n v="138"/>
    <n v="138"/>
    <n v="138"/>
    <n v="138"/>
    <n v="3240800"/>
    <n v="138"/>
    <n v="0"/>
    <n v="138"/>
    <n v="140"/>
    <n v="132"/>
    <n v="0"/>
    <x v="3"/>
    <x v="1"/>
    <n v="1"/>
    <n v="4"/>
    <x v="0"/>
  </r>
  <r>
    <d v="2019-12-11T00:00:00"/>
    <n v="139"/>
    <n v="139"/>
    <n v="138"/>
    <n v="138"/>
    <n v="6097500"/>
    <n v="139"/>
    <n v="1"/>
    <n v="138"/>
    <n v="140"/>
    <n v="133"/>
    <n v="0"/>
    <x v="3"/>
    <x v="1"/>
    <n v="2"/>
    <n v="4"/>
    <x v="0"/>
  </r>
  <r>
    <d v="2019-12-12T00:00:00"/>
    <n v="138"/>
    <n v="140"/>
    <n v="138"/>
    <n v="140"/>
    <n v="8815100"/>
    <n v="138"/>
    <n v="0"/>
    <n v="138"/>
    <n v="140"/>
    <n v="133"/>
    <n v="0"/>
    <x v="3"/>
    <x v="1"/>
    <n v="3"/>
    <n v="4"/>
    <x v="0"/>
  </r>
  <r>
    <d v="2019-12-13T00:00:00"/>
    <n v="139"/>
    <n v="139"/>
    <n v="138"/>
    <n v="139"/>
    <n v="6964300"/>
    <n v="139"/>
    <n v="0"/>
    <n v="138"/>
    <n v="139"/>
    <n v="133"/>
    <n v="0"/>
    <x v="3"/>
    <x v="1"/>
    <n v="4"/>
    <n v="4"/>
    <x v="0"/>
  </r>
  <r>
    <d v="2019-12-16T00:00:00"/>
    <n v="139"/>
    <n v="139"/>
    <n v="139"/>
    <n v="139"/>
    <n v="4646100"/>
    <n v="139"/>
    <n v="0"/>
    <n v="138"/>
    <n v="139"/>
    <n v="133"/>
    <n v="0"/>
    <x v="3"/>
    <x v="1"/>
    <n v="0"/>
    <n v="4"/>
    <x v="0"/>
  </r>
  <r>
    <d v="2019-12-17T00:00:00"/>
    <n v="139"/>
    <n v="139"/>
    <n v="139"/>
    <n v="139"/>
    <n v="4287500"/>
    <n v="139"/>
    <n v="0"/>
    <n v="138"/>
    <n v="139"/>
    <n v="133"/>
    <n v="0"/>
    <x v="3"/>
    <x v="1"/>
    <n v="1"/>
    <n v="4"/>
    <x v="0"/>
  </r>
  <r>
    <d v="2019-12-18T00:00:00"/>
    <n v="139"/>
    <n v="139"/>
    <n v="139"/>
    <n v="139"/>
    <n v="3607600"/>
    <n v="139"/>
    <n v="0"/>
    <n v="138"/>
    <n v="139"/>
    <n v="133"/>
    <n v="0"/>
    <x v="3"/>
    <x v="1"/>
    <n v="2"/>
    <n v="4"/>
    <x v="0"/>
  </r>
  <r>
    <d v="2019-12-19T00:00:00"/>
    <n v="139"/>
    <n v="140"/>
    <n v="139"/>
    <n v="139"/>
    <n v="4975000"/>
    <n v="139"/>
    <n v="0"/>
    <n v="138"/>
    <n v="139"/>
    <n v="133"/>
    <n v="0"/>
    <x v="3"/>
    <x v="1"/>
    <n v="3"/>
    <n v="4"/>
    <x v="0"/>
  </r>
  <r>
    <d v="2019-12-20T00:00:00"/>
    <n v="140"/>
    <n v="140"/>
    <n v="139"/>
    <n v="139"/>
    <n v="4463900"/>
    <n v="140"/>
    <n v="0"/>
    <n v="138"/>
    <n v="139"/>
    <n v="133"/>
    <n v="0"/>
    <x v="3"/>
    <x v="1"/>
    <n v="4"/>
    <n v="4"/>
    <x v="0"/>
  </r>
  <r>
    <d v="2019-12-23T00:00:00"/>
    <n v="140"/>
    <n v="140"/>
    <n v="140"/>
    <n v="140"/>
    <n v="5180900"/>
    <n v="140"/>
    <n v="0"/>
    <n v="138"/>
    <n v="139"/>
    <n v="133"/>
    <n v="0"/>
    <x v="3"/>
    <x v="1"/>
    <n v="0"/>
    <n v="4"/>
    <x v="0"/>
  </r>
  <r>
    <d v="2019-12-24T00:00:00"/>
    <n v="141"/>
    <n v="141"/>
    <n v="140"/>
    <n v="140"/>
    <n v="5303700"/>
    <n v="141"/>
    <n v="1"/>
    <n v="139"/>
    <n v="139"/>
    <n v="133"/>
    <n v="0"/>
    <x v="3"/>
    <x v="1"/>
    <n v="1"/>
    <n v="4"/>
    <x v="0"/>
  </r>
  <r>
    <d v="2019-12-26T00:00:00"/>
    <n v="142"/>
    <n v="142"/>
    <n v="142"/>
    <n v="142"/>
    <n v="8342500"/>
    <n v="142"/>
    <n v="1"/>
    <n v="139"/>
    <n v="139"/>
    <n v="133"/>
    <n v="0"/>
    <x v="3"/>
    <x v="1"/>
    <n v="3"/>
    <n v="4"/>
    <x v="0"/>
  </r>
  <r>
    <d v="2019-12-27T00:00:00"/>
    <n v="142"/>
    <n v="143"/>
    <n v="142"/>
    <n v="142"/>
    <n v="5119900"/>
    <n v="142"/>
    <n v="0"/>
    <n v="139"/>
    <n v="139"/>
    <n v="133"/>
    <n v="0"/>
    <x v="3"/>
    <x v="1"/>
    <n v="4"/>
    <n v="4"/>
    <x v="0"/>
  </r>
  <r>
    <d v="2019-12-30T00:00:00"/>
    <n v="143"/>
    <n v="143"/>
    <n v="142"/>
    <n v="143"/>
    <n v="4810600"/>
    <n v="143"/>
    <n v="0"/>
    <n v="139"/>
    <n v="139"/>
    <n v="134"/>
    <n v="0"/>
    <x v="3"/>
    <x v="1"/>
    <n v="0"/>
    <n v="4"/>
    <x v="0"/>
  </r>
  <r>
    <d v="2019-12-31T00:00:00"/>
    <n v="143"/>
    <n v="144"/>
    <n v="143"/>
    <n v="143"/>
    <n v="5313500"/>
    <n v="143"/>
    <n v="0"/>
    <n v="140"/>
    <n v="139"/>
    <n v="134"/>
    <n v="0"/>
    <x v="3"/>
    <x v="1"/>
    <n v="1"/>
    <n v="4"/>
    <x v="0"/>
  </r>
  <r>
    <d v="2020-01-02T00:00:00"/>
    <n v="144"/>
    <n v="144"/>
    <n v="143"/>
    <n v="144"/>
    <n v="7733800"/>
    <n v="144"/>
    <n v="1"/>
    <n v="140"/>
    <n v="140"/>
    <n v="134"/>
    <n v="0"/>
    <x v="4"/>
    <x v="2"/>
    <n v="3"/>
    <n v="1"/>
    <x v="0"/>
  </r>
  <r>
    <d v="2020-01-03T00:00:00"/>
    <n v="146"/>
    <n v="146"/>
    <n v="145"/>
    <n v="146"/>
    <n v="12272800"/>
    <n v="146"/>
    <n v="1"/>
    <n v="140"/>
    <n v="140"/>
    <n v="134"/>
    <n v="0"/>
    <x v="4"/>
    <x v="2"/>
    <n v="4"/>
    <n v="1"/>
    <x v="0"/>
  </r>
  <r>
    <d v="2020-01-06T00:00:00"/>
    <n v="147"/>
    <n v="148"/>
    <n v="147"/>
    <n v="148"/>
    <n v="14403300"/>
    <n v="147"/>
    <n v="1"/>
    <n v="141"/>
    <n v="140"/>
    <n v="134"/>
    <n v="1"/>
    <x v="4"/>
    <x v="2"/>
    <n v="0"/>
    <n v="1"/>
    <x v="0"/>
  </r>
  <r>
    <d v="2020-01-07T00:00:00"/>
    <n v="148"/>
    <n v="148"/>
    <n v="147"/>
    <n v="148"/>
    <n v="7978500"/>
    <n v="148"/>
    <n v="0"/>
    <n v="141"/>
    <n v="140"/>
    <n v="134"/>
    <n v="0"/>
    <x v="4"/>
    <x v="2"/>
    <n v="1"/>
    <n v="1"/>
    <x v="0"/>
  </r>
  <r>
    <d v="2020-01-08T00:00:00"/>
    <n v="147"/>
    <n v="149"/>
    <n v="146"/>
    <n v="148"/>
    <n v="22248500"/>
    <n v="147"/>
    <n v="-1"/>
    <n v="142"/>
    <n v="140"/>
    <n v="134"/>
    <n v="0"/>
    <x v="4"/>
    <x v="2"/>
    <n v="2"/>
    <n v="1"/>
    <x v="0"/>
  </r>
  <r>
    <d v="2020-01-09T00:00:00"/>
    <n v="146"/>
    <n v="146"/>
    <n v="145"/>
    <n v="146"/>
    <n v="10292300"/>
    <n v="146"/>
    <n v="-1"/>
    <n v="142"/>
    <n v="140"/>
    <n v="134"/>
    <n v="1"/>
    <x v="4"/>
    <x v="2"/>
    <n v="3"/>
    <n v="1"/>
    <x v="0"/>
  </r>
  <r>
    <d v="2020-01-10T00:00:00"/>
    <n v="147"/>
    <n v="147"/>
    <n v="146"/>
    <n v="146"/>
    <n v="6183300"/>
    <n v="147"/>
    <n v="1"/>
    <n v="142"/>
    <n v="140"/>
    <n v="134"/>
    <n v="1"/>
    <x v="4"/>
    <x v="2"/>
    <n v="4"/>
    <n v="1"/>
    <x v="0"/>
  </r>
  <r>
    <d v="2020-01-13T00:00:00"/>
    <n v="146"/>
    <n v="146"/>
    <n v="146"/>
    <n v="146"/>
    <n v="7593800"/>
    <n v="146"/>
    <n v="-1"/>
    <n v="143"/>
    <n v="140"/>
    <n v="135"/>
    <n v="1"/>
    <x v="4"/>
    <x v="2"/>
    <n v="0"/>
    <n v="1"/>
    <x v="0"/>
  </r>
  <r>
    <d v="2020-01-14T00:00:00"/>
    <n v="146"/>
    <n v="146"/>
    <n v="145"/>
    <n v="145"/>
    <n v="6589700"/>
    <n v="146"/>
    <n v="0"/>
    <n v="143"/>
    <n v="140"/>
    <n v="135"/>
    <n v="1"/>
    <x v="4"/>
    <x v="2"/>
    <n v="1"/>
    <n v="1"/>
    <x v="0"/>
  </r>
  <r>
    <d v="2020-01-15T00:00:00"/>
    <n v="147"/>
    <n v="147"/>
    <n v="146"/>
    <n v="146"/>
    <n v="6510000"/>
    <n v="147"/>
    <n v="1"/>
    <n v="144"/>
    <n v="140"/>
    <n v="135"/>
    <n v="1"/>
    <x v="4"/>
    <x v="2"/>
    <n v="2"/>
    <n v="1"/>
    <x v="0"/>
  </r>
  <r>
    <d v="2020-01-16T00:00:00"/>
    <n v="146"/>
    <n v="146"/>
    <n v="146"/>
    <n v="146"/>
    <n v="6069100"/>
    <n v="146"/>
    <n v="0"/>
    <n v="144"/>
    <n v="141"/>
    <n v="135"/>
    <n v="1"/>
    <x v="4"/>
    <x v="2"/>
    <n v="3"/>
    <n v="1"/>
    <x v="0"/>
  </r>
  <r>
    <d v="2020-01-17T00:00:00"/>
    <n v="147"/>
    <n v="147"/>
    <n v="146"/>
    <n v="147"/>
    <n v="11121100"/>
    <n v="147"/>
    <n v="0"/>
    <n v="144"/>
    <n v="141"/>
    <n v="135"/>
    <n v="1"/>
    <x v="4"/>
    <x v="2"/>
    <n v="4"/>
    <n v="1"/>
    <x v="0"/>
  </r>
  <r>
    <d v="2020-01-21T00:00:00"/>
    <n v="147"/>
    <n v="147"/>
    <n v="146"/>
    <n v="146"/>
    <n v="6086100"/>
    <n v="147"/>
    <n v="0"/>
    <n v="145"/>
    <n v="141"/>
    <n v="135"/>
    <n v="1"/>
    <x v="4"/>
    <x v="2"/>
    <n v="1"/>
    <n v="1"/>
    <x v="0"/>
  </r>
  <r>
    <d v="2020-01-22T00:00:00"/>
    <n v="147"/>
    <n v="147"/>
    <n v="146"/>
    <n v="147"/>
    <n v="4778200"/>
    <n v="147"/>
    <n v="0"/>
    <n v="145"/>
    <n v="141"/>
    <n v="135"/>
    <n v="1"/>
    <x v="4"/>
    <x v="2"/>
    <n v="2"/>
    <n v="1"/>
    <x v="0"/>
  </r>
  <r>
    <d v="2020-01-23T00:00:00"/>
    <n v="147"/>
    <n v="148"/>
    <n v="147"/>
    <n v="147"/>
    <n v="8419800"/>
    <n v="147"/>
    <n v="0"/>
    <n v="145"/>
    <n v="141"/>
    <n v="135"/>
    <n v="1"/>
    <x v="4"/>
    <x v="2"/>
    <n v="3"/>
    <n v="1"/>
    <x v="0"/>
  </r>
  <r>
    <d v="2020-01-24T00:00:00"/>
    <n v="148"/>
    <n v="148"/>
    <n v="147"/>
    <n v="147"/>
    <n v="9919900"/>
    <n v="148"/>
    <n v="1"/>
    <n v="146"/>
    <n v="141"/>
    <n v="136"/>
    <n v="1"/>
    <x v="4"/>
    <x v="2"/>
    <n v="4"/>
    <n v="1"/>
    <x v="0"/>
  </r>
  <r>
    <d v="2020-01-27T00:00:00"/>
    <n v="149"/>
    <n v="149"/>
    <n v="148"/>
    <n v="149"/>
    <n v="9988100"/>
    <n v="149"/>
    <n v="1"/>
    <n v="146"/>
    <n v="142"/>
    <n v="136"/>
    <n v="1"/>
    <x v="4"/>
    <x v="2"/>
    <n v="0"/>
    <n v="1"/>
    <x v="0"/>
  </r>
  <r>
    <d v="2020-01-28T00:00:00"/>
    <n v="148"/>
    <n v="149"/>
    <n v="148"/>
    <n v="148"/>
    <n v="7543100"/>
    <n v="148"/>
    <n v="-1"/>
    <n v="146"/>
    <n v="142"/>
    <n v="136"/>
    <n v="1"/>
    <x v="4"/>
    <x v="2"/>
    <n v="1"/>
    <n v="1"/>
    <x v="0"/>
  </r>
  <r>
    <d v="2020-01-29T00:00:00"/>
    <n v="148"/>
    <n v="149"/>
    <n v="148"/>
    <n v="148"/>
    <n v="5013100"/>
    <n v="148"/>
    <n v="1"/>
    <n v="147"/>
    <n v="142"/>
    <n v="136"/>
    <n v="1"/>
    <x v="4"/>
    <x v="2"/>
    <n v="2"/>
    <n v="1"/>
    <x v="0"/>
  </r>
  <r>
    <d v="2020-01-30T00:00:00"/>
    <n v="148"/>
    <n v="149"/>
    <n v="148"/>
    <n v="149"/>
    <n v="9119500"/>
    <n v="148"/>
    <n v="0"/>
    <n v="147"/>
    <n v="142"/>
    <n v="136"/>
    <n v="1"/>
    <x v="4"/>
    <x v="2"/>
    <n v="3"/>
    <n v="1"/>
    <x v="0"/>
  </r>
  <r>
    <d v="2020-01-31T00:00:00"/>
    <n v="149"/>
    <n v="150"/>
    <n v="149"/>
    <n v="149"/>
    <n v="14788300"/>
    <n v="149"/>
    <n v="1"/>
    <n v="147"/>
    <n v="142"/>
    <n v="136"/>
    <n v="1"/>
    <x v="4"/>
    <x v="2"/>
    <n v="4"/>
    <n v="1"/>
    <x v="0"/>
  </r>
  <r>
    <d v="2020-02-03T00:00:00"/>
    <n v="148"/>
    <n v="149"/>
    <n v="148"/>
    <n v="149"/>
    <n v="9105300"/>
    <n v="148"/>
    <n v="-1"/>
    <n v="147"/>
    <n v="143"/>
    <n v="136"/>
    <n v="1"/>
    <x v="4"/>
    <x v="3"/>
    <n v="0"/>
    <n v="1"/>
    <x v="0"/>
  </r>
  <r>
    <d v="2020-02-04T00:00:00"/>
    <n v="146"/>
    <n v="147"/>
    <n v="146"/>
    <n v="147"/>
    <n v="10525600"/>
    <n v="146"/>
    <n v="-1"/>
    <n v="147"/>
    <n v="143"/>
    <n v="137"/>
    <n v="1"/>
    <x v="4"/>
    <x v="3"/>
    <n v="1"/>
    <n v="1"/>
    <x v="0"/>
  </r>
  <r>
    <d v="2020-02-05T00:00:00"/>
    <n v="147"/>
    <n v="147"/>
    <n v="146"/>
    <n v="146"/>
    <n v="6160700"/>
    <n v="147"/>
    <n v="0"/>
    <n v="147"/>
    <n v="143"/>
    <n v="137"/>
    <n v="1"/>
    <x v="4"/>
    <x v="3"/>
    <n v="2"/>
    <n v="1"/>
    <x v="0"/>
  </r>
  <r>
    <d v="2020-02-06T00:00:00"/>
    <n v="147"/>
    <n v="148"/>
    <n v="147"/>
    <n v="147"/>
    <n v="4819800"/>
    <n v="147"/>
    <n v="1"/>
    <n v="147"/>
    <n v="143"/>
    <n v="137"/>
    <n v="1"/>
    <x v="4"/>
    <x v="3"/>
    <n v="3"/>
    <n v="1"/>
    <x v="0"/>
  </r>
  <r>
    <d v="2020-02-07T00:00:00"/>
    <n v="148"/>
    <n v="148"/>
    <n v="147"/>
    <n v="148"/>
    <n v="6379300"/>
    <n v="148"/>
    <n v="0"/>
    <n v="147"/>
    <n v="143"/>
    <n v="137"/>
    <n v="1"/>
    <x v="4"/>
    <x v="3"/>
    <n v="4"/>
    <n v="1"/>
    <x v="0"/>
  </r>
  <r>
    <d v="2020-02-10T00:00:00"/>
    <n v="148"/>
    <n v="148"/>
    <n v="148"/>
    <n v="148"/>
    <n v="5793600"/>
    <n v="148"/>
    <n v="0"/>
    <n v="147"/>
    <n v="144"/>
    <n v="137"/>
    <n v="1"/>
    <x v="4"/>
    <x v="3"/>
    <n v="0"/>
    <n v="1"/>
    <x v="0"/>
  </r>
  <r>
    <d v="2020-02-11T00:00:00"/>
    <n v="148"/>
    <n v="148"/>
    <n v="147"/>
    <n v="148"/>
    <n v="5179400"/>
    <n v="148"/>
    <n v="0"/>
    <n v="147"/>
    <n v="144"/>
    <n v="137"/>
    <n v="1"/>
    <x v="4"/>
    <x v="3"/>
    <n v="1"/>
    <n v="1"/>
    <x v="0"/>
  </r>
  <r>
    <d v="2020-02-12T00:00:00"/>
    <n v="148"/>
    <n v="148"/>
    <n v="147"/>
    <n v="147"/>
    <n v="5040600"/>
    <n v="148"/>
    <n v="0"/>
    <n v="148"/>
    <n v="144"/>
    <n v="137"/>
    <n v="1"/>
    <x v="4"/>
    <x v="3"/>
    <n v="2"/>
    <n v="1"/>
    <x v="0"/>
  </r>
  <r>
    <d v="2020-02-13T00:00:00"/>
    <n v="148"/>
    <n v="149"/>
    <n v="148"/>
    <n v="148"/>
    <n v="7082100"/>
    <n v="148"/>
    <n v="1"/>
    <n v="148"/>
    <n v="144"/>
    <n v="137"/>
    <n v="1"/>
    <x v="4"/>
    <x v="3"/>
    <n v="3"/>
    <n v="1"/>
    <x v="0"/>
  </r>
  <r>
    <d v="2020-02-14T00:00:00"/>
    <n v="149"/>
    <n v="149"/>
    <n v="149"/>
    <n v="149"/>
    <n v="5345400"/>
    <n v="149"/>
    <n v="0"/>
    <n v="148"/>
    <n v="144"/>
    <n v="138"/>
    <n v="1"/>
    <x v="4"/>
    <x v="3"/>
    <n v="4"/>
    <n v="1"/>
    <x v="0"/>
  </r>
  <r>
    <d v="2020-02-18T00:00:00"/>
    <n v="151"/>
    <n v="151"/>
    <n v="149"/>
    <n v="150"/>
    <n v="11524900"/>
    <n v="151"/>
    <n v="1"/>
    <n v="148"/>
    <n v="145"/>
    <n v="138"/>
    <n v="1"/>
    <x v="4"/>
    <x v="3"/>
    <n v="1"/>
    <n v="1"/>
    <x v="0"/>
  </r>
  <r>
    <d v="2020-02-19T00:00:00"/>
    <n v="152"/>
    <n v="152"/>
    <n v="151"/>
    <n v="151"/>
    <n v="9269800"/>
    <n v="152"/>
    <n v="1"/>
    <n v="148"/>
    <n v="145"/>
    <n v="138"/>
    <n v="1"/>
    <x v="4"/>
    <x v="3"/>
    <n v="2"/>
    <n v="1"/>
    <x v="0"/>
  </r>
  <r>
    <d v="2020-02-20T00:00:00"/>
    <n v="152"/>
    <n v="153"/>
    <n v="152"/>
    <n v="152"/>
    <n v="8457300"/>
    <n v="152"/>
    <n v="0"/>
    <n v="149"/>
    <n v="145"/>
    <n v="138"/>
    <n v="1"/>
    <x v="4"/>
    <x v="3"/>
    <n v="3"/>
    <n v="1"/>
    <x v="0"/>
  </r>
  <r>
    <d v="2020-02-21T00:00:00"/>
    <n v="155"/>
    <n v="155"/>
    <n v="154"/>
    <n v="154"/>
    <n v="16344500"/>
    <n v="155"/>
    <n v="2"/>
    <n v="149"/>
    <n v="146"/>
    <n v="138"/>
    <n v="1"/>
    <x v="4"/>
    <x v="3"/>
    <n v="4"/>
    <n v="1"/>
    <x v="0"/>
  </r>
  <r>
    <d v="2020-02-24T00:00:00"/>
    <n v="156"/>
    <n v="159"/>
    <n v="155"/>
    <n v="159"/>
    <n v="27171000"/>
    <n v="156"/>
    <n v="1"/>
    <n v="149"/>
    <n v="146"/>
    <n v="138"/>
    <n v="1"/>
    <x v="4"/>
    <x v="3"/>
    <n v="0"/>
    <n v="1"/>
    <x v="0"/>
  </r>
  <r>
    <d v="2020-02-25T00:00:00"/>
    <n v="153"/>
    <n v="156"/>
    <n v="153"/>
    <n v="155"/>
    <n v="28091500"/>
    <n v="153"/>
    <n v="-2"/>
    <n v="150"/>
    <n v="146"/>
    <n v="139"/>
    <n v="1"/>
    <x v="4"/>
    <x v="3"/>
    <n v="1"/>
    <n v="1"/>
    <x v="0"/>
  </r>
  <r>
    <d v="2020-02-26T00:00:00"/>
    <n v="154"/>
    <n v="155"/>
    <n v="153"/>
    <n v="154"/>
    <n v="17912500"/>
    <n v="154"/>
    <n v="0"/>
    <n v="150"/>
    <n v="146"/>
    <n v="139"/>
    <n v="1"/>
    <x v="4"/>
    <x v="3"/>
    <n v="2"/>
    <n v="1"/>
    <x v="0"/>
  </r>
  <r>
    <d v="2020-02-27T00:00:00"/>
    <n v="154"/>
    <n v="156"/>
    <n v="154"/>
    <n v="156"/>
    <n v="27878500"/>
    <n v="154"/>
    <n v="0"/>
    <n v="150"/>
    <n v="147"/>
    <n v="139"/>
    <n v="1"/>
    <x v="4"/>
    <x v="3"/>
    <n v="3"/>
    <n v="1"/>
    <x v="0"/>
  </r>
  <r>
    <d v="2020-02-28T00:00:00"/>
    <n v="148"/>
    <n v="153"/>
    <n v="147"/>
    <n v="153"/>
    <n v="42699600"/>
    <n v="148"/>
    <n v="-4"/>
    <n v="150"/>
    <n v="147"/>
    <n v="139"/>
    <n v="1"/>
    <x v="4"/>
    <x v="3"/>
    <n v="4"/>
    <n v="1"/>
    <x v="0"/>
  </r>
  <r>
    <d v="2020-03-02T00:00:00"/>
    <n v="149"/>
    <n v="151"/>
    <n v="149"/>
    <n v="150"/>
    <n v="16295400"/>
    <n v="149"/>
    <n v="1"/>
    <n v="150"/>
    <n v="147"/>
    <n v="139"/>
    <n v="1"/>
    <x v="4"/>
    <x v="4"/>
    <n v="0"/>
    <n v="1"/>
    <x v="0"/>
  </r>
  <r>
    <d v="2020-03-03T00:00:00"/>
    <n v="154"/>
    <n v="155"/>
    <n v="151"/>
    <n v="151"/>
    <n v="28687700"/>
    <n v="154"/>
    <n v="3"/>
    <n v="150"/>
    <n v="147"/>
    <n v="139"/>
    <n v="1"/>
    <x v="4"/>
    <x v="4"/>
    <n v="1"/>
    <n v="1"/>
    <x v="0"/>
  </r>
  <r>
    <d v="2020-03-04T00:00:00"/>
    <n v="154"/>
    <n v="155"/>
    <n v="154"/>
    <n v="154"/>
    <n v="12315500"/>
    <n v="154"/>
    <n v="0"/>
    <n v="151"/>
    <n v="148"/>
    <n v="139"/>
    <n v="1"/>
    <x v="4"/>
    <x v="4"/>
    <n v="2"/>
    <n v="1"/>
    <x v="0"/>
  </r>
  <r>
    <d v="2020-03-05T00:00:00"/>
    <n v="157"/>
    <n v="158"/>
    <n v="156"/>
    <n v="156"/>
    <n v="17973500"/>
    <n v="157"/>
    <n v="2"/>
    <n v="151"/>
    <n v="148"/>
    <n v="140"/>
    <n v="1"/>
    <x v="4"/>
    <x v="4"/>
    <n v="3"/>
    <n v="1"/>
    <x v="0"/>
  </r>
  <r>
    <d v="2020-03-06T00:00:00"/>
    <n v="158"/>
    <n v="159"/>
    <n v="155"/>
    <n v="158"/>
    <n v="26973400"/>
    <n v="158"/>
    <n v="0"/>
    <n v="152"/>
    <n v="148"/>
    <n v="140"/>
    <n v="1"/>
    <x v="4"/>
    <x v="4"/>
    <n v="4"/>
    <n v="1"/>
    <x v="0"/>
  </r>
  <r>
    <d v="2020-03-09T00:00:00"/>
    <n v="158"/>
    <n v="159"/>
    <n v="156"/>
    <n v="159"/>
    <n v="24868700"/>
    <n v="158"/>
    <n v="0"/>
    <n v="152"/>
    <n v="149"/>
    <n v="140"/>
    <n v="1"/>
    <x v="4"/>
    <x v="4"/>
    <n v="0"/>
    <n v="1"/>
    <x v="0"/>
  </r>
  <r>
    <d v="2020-03-10T00:00:00"/>
    <n v="154"/>
    <n v="156"/>
    <n v="154"/>
    <n v="156"/>
    <n v="18811500"/>
    <n v="154"/>
    <n v="-2"/>
    <n v="153"/>
    <n v="149"/>
    <n v="140"/>
    <n v="1"/>
    <x v="4"/>
    <x v="4"/>
    <n v="1"/>
    <n v="1"/>
    <x v="0"/>
  </r>
  <r>
    <d v="2020-03-11T00:00:00"/>
    <n v="154"/>
    <n v="157"/>
    <n v="154"/>
    <n v="156"/>
    <n v="18159900"/>
    <n v="154"/>
    <n v="0"/>
    <n v="153"/>
    <n v="149"/>
    <n v="140"/>
    <n v="1"/>
    <x v="4"/>
    <x v="4"/>
    <n v="2"/>
    <n v="1"/>
    <x v="0"/>
  </r>
  <r>
    <d v="2020-03-12T00:00:00"/>
    <n v="148"/>
    <n v="152"/>
    <n v="147"/>
    <n v="152"/>
    <n v="32893400"/>
    <n v="148"/>
    <n v="-4"/>
    <n v="153"/>
    <n v="149"/>
    <n v="141"/>
    <n v="2"/>
    <x v="4"/>
    <x v="4"/>
    <n v="3"/>
    <n v="1"/>
    <x v="0"/>
  </r>
  <r>
    <d v="2020-03-13T00:00:00"/>
    <n v="143"/>
    <n v="150"/>
    <n v="142"/>
    <n v="149"/>
    <n v="35177200"/>
    <n v="143"/>
    <n v="-3"/>
    <n v="153"/>
    <n v="149"/>
    <n v="141"/>
    <n v="2"/>
    <x v="4"/>
    <x v="4"/>
    <n v="4"/>
    <n v="1"/>
    <x v="0"/>
  </r>
  <r>
    <d v="2020-03-16T00:00:00"/>
    <n v="142"/>
    <n v="143"/>
    <n v="136"/>
    <n v="138"/>
    <n v="24496000"/>
    <n v="142"/>
    <n v="-1"/>
    <n v="152"/>
    <n v="149"/>
    <n v="141"/>
    <n v="2"/>
    <x v="4"/>
    <x v="4"/>
    <n v="0"/>
    <n v="1"/>
    <x v="0"/>
  </r>
  <r>
    <d v="2020-03-17T00:00:00"/>
    <n v="144"/>
    <n v="146"/>
    <n v="140"/>
    <n v="140"/>
    <n v="24490300"/>
    <n v="144"/>
    <n v="1"/>
    <n v="152"/>
    <n v="149"/>
    <n v="141"/>
    <n v="2"/>
    <x v="4"/>
    <x v="4"/>
    <n v="1"/>
    <n v="1"/>
    <x v="0"/>
  </r>
  <r>
    <d v="2020-03-18T00:00:00"/>
    <n v="141"/>
    <n v="143"/>
    <n v="139"/>
    <n v="142"/>
    <n v="21953400"/>
    <n v="141"/>
    <n v="-2"/>
    <n v="151"/>
    <n v="149"/>
    <n v="141"/>
    <n v="2"/>
    <x v="4"/>
    <x v="4"/>
    <n v="2"/>
    <n v="1"/>
    <x v="0"/>
  </r>
  <r>
    <d v="2020-03-19T00:00:00"/>
    <n v="138"/>
    <n v="141"/>
    <n v="138"/>
    <n v="139"/>
    <n v="20828900"/>
    <n v="138"/>
    <n v="-2"/>
    <n v="151"/>
    <n v="149"/>
    <n v="141"/>
    <n v="2"/>
    <x v="4"/>
    <x v="4"/>
    <n v="3"/>
    <n v="1"/>
    <x v="0"/>
  </r>
  <r>
    <d v="2020-03-20T00:00:00"/>
    <n v="140"/>
    <n v="141"/>
    <n v="139"/>
    <n v="141"/>
    <n v="20056000"/>
    <n v="140"/>
    <n v="1"/>
    <n v="150"/>
    <n v="149"/>
    <n v="141"/>
    <n v="2"/>
    <x v="4"/>
    <x v="4"/>
    <n v="4"/>
    <n v="1"/>
    <x v="0"/>
  </r>
  <r>
    <d v="2020-03-23T00:00:00"/>
    <n v="146"/>
    <n v="147"/>
    <n v="142"/>
    <n v="143"/>
    <n v="28275200"/>
    <n v="146"/>
    <n v="4"/>
    <n v="149"/>
    <n v="149"/>
    <n v="141"/>
    <n v="2"/>
    <x v="4"/>
    <x v="4"/>
    <n v="0"/>
    <n v="1"/>
    <x v="0"/>
  </r>
  <r>
    <d v="2020-03-24T00:00:00"/>
    <n v="153"/>
    <n v="156"/>
    <n v="152"/>
    <n v="154"/>
    <n v="20743500"/>
    <n v="153"/>
    <n v="5"/>
    <n v="149"/>
    <n v="149"/>
    <n v="141"/>
    <n v="2"/>
    <x v="4"/>
    <x v="4"/>
    <n v="1"/>
    <n v="1"/>
    <x v="0"/>
  </r>
  <r>
    <d v="2020-03-25T00:00:00"/>
    <n v="151"/>
    <n v="153"/>
    <n v="151"/>
    <n v="153"/>
    <n v="16457200"/>
    <n v="151"/>
    <n v="-1"/>
    <n v="149"/>
    <n v="149"/>
    <n v="141"/>
    <n v="2"/>
    <x v="4"/>
    <x v="4"/>
    <n v="2"/>
    <n v="1"/>
    <x v="0"/>
  </r>
  <r>
    <d v="2020-03-26T00:00:00"/>
    <n v="153"/>
    <n v="155"/>
    <n v="152"/>
    <n v="153"/>
    <n v="12778200"/>
    <n v="153"/>
    <n v="1"/>
    <n v="149"/>
    <n v="149"/>
    <n v="142"/>
    <n v="2"/>
    <x v="4"/>
    <x v="4"/>
    <n v="3"/>
    <n v="1"/>
    <x v="0"/>
  </r>
  <r>
    <d v="2020-03-27T00:00:00"/>
    <n v="152"/>
    <n v="154"/>
    <n v="152"/>
    <n v="153"/>
    <n v="9824600"/>
    <n v="152"/>
    <n v="-1"/>
    <n v="150"/>
    <n v="149"/>
    <n v="142"/>
    <n v="2"/>
    <x v="4"/>
    <x v="4"/>
    <n v="4"/>
    <n v="1"/>
    <x v="0"/>
  </r>
  <r>
    <d v="2020-03-30T00:00:00"/>
    <n v="153"/>
    <n v="153"/>
    <n v="152"/>
    <n v="152"/>
    <n v="12080900"/>
    <n v="153"/>
    <n v="0"/>
    <n v="150"/>
    <n v="149"/>
    <n v="142"/>
    <n v="2"/>
    <x v="4"/>
    <x v="4"/>
    <n v="0"/>
    <n v="1"/>
    <x v="0"/>
  </r>
  <r>
    <d v="2020-03-31T00:00:00"/>
    <n v="148"/>
    <n v="152"/>
    <n v="148"/>
    <n v="151"/>
    <n v="13319500"/>
    <n v="148"/>
    <n v="-3"/>
    <n v="149"/>
    <n v="150"/>
    <n v="142"/>
    <n v="2"/>
    <x v="4"/>
    <x v="4"/>
    <n v="1"/>
    <n v="1"/>
    <x v="0"/>
  </r>
  <r>
    <d v="2020-04-01T00:00:00"/>
    <n v="149"/>
    <n v="150"/>
    <n v="148"/>
    <n v="148"/>
    <n v="11827400"/>
    <n v="149"/>
    <n v="1"/>
    <n v="149"/>
    <n v="150"/>
    <n v="142"/>
    <n v="2"/>
    <x v="4"/>
    <x v="5"/>
    <n v="2"/>
    <n v="2"/>
    <x v="0"/>
  </r>
  <r>
    <d v="2020-04-02T00:00:00"/>
    <n v="152"/>
    <n v="153"/>
    <n v="151"/>
    <n v="151"/>
    <n v="9188300"/>
    <n v="152"/>
    <n v="2"/>
    <n v="149"/>
    <n v="150"/>
    <n v="142"/>
    <n v="2"/>
    <x v="4"/>
    <x v="5"/>
    <n v="3"/>
    <n v="2"/>
    <x v="0"/>
  </r>
  <r>
    <d v="2020-04-03T00:00:00"/>
    <n v="153"/>
    <n v="153"/>
    <n v="152"/>
    <n v="152"/>
    <n v="8469100"/>
    <n v="153"/>
    <n v="0"/>
    <n v="149"/>
    <n v="150"/>
    <n v="142"/>
    <n v="2"/>
    <x v="4"/>
    <x v="5"/>
    <n v="4"/>
    <n v="2"/>
    <x v="0"/>
  </r>
  <r>
    <d v="2020-04-06T00:00:00"/>
    <n v="157"/>
    <n v="157"/>
    <n v="154"/>
    <n v="154"/>
    <n v="14739300"/>
    <n v="157"/>
    <n v="3"/>
    <n v="149"/>
    <n v="150"/>
    <n v="142"/>
    <n v="2"/>
    <x v="4"/>
    <x v="5"/>
    <n v="0"/>
    <n v="2"/>
    <x v="0"/>
  </r>
  <r>
    <d v="2020-04-07T00:00:00"/>
    <n v="156"/>
    <n v="156"/>
    <n v="154"/>
    <n v="155"/>
    <n v="9195400"/>
    <n v="156"/>
    <n v="-1"/>
    <n v="149"/>
    <n v="150"/>
    <n v="143"/>
    <n v="2"/>
    <x v="4"/>
    <x v="5"/>
    <n v="1"/>
    <n v="2"/>
    <x v="0"/>
  </r>
  <r>
    <d v="2020-04-08T00:00:00"/>
    <n v="155"/>
    <n v="156"/>
    <n v="155"/>
    <n v="156"/>
    <n v="7600800"/>
    <n v="155"/>
    <n v="-1"/>
    <n v="149"/>
    <n v="150"/>
    <n v="143"/>
    <n v="2"/>
    <x v="4"/>
    <x v="5"/>
    <n v="2"/>
    <n v="2"/>
    <x v="0"/>
  </r>
  <r>
    <d v="2020-04-09T00:00:00"/>
    <n v="159"/>
    <n v="159"/>
    <n v="157"/>
    <n v="158"/>
    <n v="18123000"/>
    <n v="159"/>
    <n v="3"/>
    <n v="149"/>
    <n v="150"/>
    <n v="143"/>
    <n v="2"/>
    <x v="4"/>
    <x v="5"/>
    <n v="3"/>
    <n v="2"/>
    <x v="0"/>
  </r>
  <r>
    <d v="2020-04-13T00:00:00"/>
    <n v="161"/>
    <n v="162"/>
    <n v="159"/>
    <n v="159"/>
    <n v="20549200"/>
    <n v="161"/>
    <n v="2"/>
    <n v="150"/>
    <n v="151"/>
    <n v="143"/>
    <n v="2"/>
    <x v="4"/>
    <x v="5"/>
    <n v="0"/>
    <n v="2"/>
    <x v="0"/>
  </r>
  <r>
    <d v="2020-04-14T00:00:00"/>
    <n v="163"/>
    <n v="164"/>
    <n v="162"/>
    <n v="163"/>
    <n v="17095100"/>
    <n v="163"/>
    <n v="1"/>
    <n v="151"/>
    <n v="151"/>
    <n v="143"/>
    <n v="2"/>
    <x v="4"/>
    <x v="5"/>
    <n v="1"/>
    <n v="2"/>
    <x v="0"/>
  </r>
  <r>
    <d v="2020-04-15T00:00:00"/>
    <n v="162"/>
    <n v="163"/>
    <n v="161"/>
    <n v="162"/>
    <n v="12141900"/>
    <n v="162"/>
    <n v="-1"/>
    <n v="152"/>
    <n v="151"/>
    <n v="143"/>
    <n v="2"/>
    <x v="4"/>
    <x v="5"/>
    <n v="2"/>
    <n v="2"/>
    <x v="0"/>
  </r>
  <r>
    <d v="2020-04-16T00:00:00"/>
    <n v="162"/>
    <n v="163"/>
    <n v="161"/>
    <n v="162"/>
    <n v="9233200"/>
    <n v="162"/>
    <n v="0"/>
    <n v="153"/>
    <n v="152"/>
    <n v="143"/>
    <n v="2"/>
    <x v="4"/>
    <x v="5"/>
    <n v="3"/>
    <n v="2"/>
    <x v="0"/>
  </r>
  <r>
    <d v="2020-04-17T00:00:00"/>
    <n v="159"/>
    <n v="160"/>
    <n v="158"/>
    <n v="160"/>
    <n v="14652700"/>
    <n v="159"/>
    <n v="-2"/>
    <n v="154"/>
    <n v="152"/>
    <n v="143"/>
    <n v="2"/>
    <x v="4"/>
    <x v="5"/>
    <n v="4"/>
    <n v="2"/>
    <x v="0"/>
  </r>
  <r>
    <d v="2020-04-20T00:00:00"/>
    <n v="160"/>
    <n v="160"/>
    <n v="158"/>
    <n v="159"/>
    <n v="10688700"/>
    <n v="160"/>
    <n v="1"/>
    <n v="155"/>
    <n v="152"/>
    <n v="144"/>
    <n v="2"/>
    <x v="4"/>
    <x v="5"/>
    <n v="0"/>
    <n v="2"/>
    <x v="0"/>
  </r>
  <r>
    <d v="2020-04-21T00:00:00"/>
    <n v="159"/>
    <n v="159"/>
    <n v="157"/>
    <n v="158"/>
    <n v="12478100"/>
    <n v="159"/>
    <n v="-1"/>
    <n v="156"/>
    <n v="152"/>
    <n v="144"/>
    <n v="2"/>
    <x v="4"/>
    <x v="5"/>
    <n v="1"/>
    <n v="2"/>
    <x v="0"/>
  </r>
  <r>
    <d v="2020-04-22T00:00:00"/>
    <n v="162"/>
    <n v="162"/>
    <n v="160"/>
    <n v="161"/>
    <n v="12902100"/>
    <n v="162"/>
    <n v="2"/>
    <n v="156"/>
    <n v="153"/>
    <n v="144"/>
    <n v="2"/>
    <x v="4"/>
    <x v="5"/>
    <n v="2"/>
    <n v="2"/>
    <x v="0"/>
  </r>
  <r>
    <d v="2020-04-23T00:00:00"/>
    <n v="163"/>
    <n v="164"/>
    <n v="162"/>
    <n v="162"/>
    <n v="14928500"/>
    <n v="163"/>
    <n v="1"/>
    <n v="157"/>
    <n v="153"/>
    <n v="144"/>
    <n v="1"/>
    <x v="4"/>
    <x v="5"/>
    <n v="3"/>
    <n v="2"/>
    <x v="0"/>
  </r>
  <r>
    <d v="2020-04-24T00:00:00"/>
    <n v="163"/>
    <n v="163"/>
    <n v="161"/>
    <n v="163"/>
    <n v="11199300"/>
    <n v="163"/>
    <n v="0"/>
    <n v="157"/>
    <n v="153"/>
    <n v="144"/>
    <n v="1"/>
    <x v="4"/>
    <x v="5"/>
    <n v="4"/>
    <n v="2"/>
    <x v="0"/>
  </r>
  <r>
    <d v="2020-04-27T00:00:00"/>
    <n v="162"/>
    <n v="162"/>
    <n v="160"/>
    <n v="162"/>
    <n v="9033500"/>
    <n v="162"/>
    <n v="-1"/>
    <n v="158"/>
    <n v="153"/>
    <n v="144"/>
    <n v="1"/>
    <x v="4"/>
    <x v="5"/>
    <n v="0"/>
    <n v="2"/>
    <x v="0"/>
  </r>
  <r>
    <d v="2020-04-28T00:00:00"/>
    <n v="161"/>
    <n v="161"/>
    <n v="159"/>
    <n v="161"/>
    <n v="10383000"/>
    <n v="161"/>
    <n v="0"/>
    <n v="158"/>
    <n v="154"/>
    <n v="144"/>
    <n v="1"/>
    <x v="4"/>
    <x v="5"/>
    <n v="1"/>
    <n v="2"/>
    <x v="0"/>
  </r>
  <r>
    <d v="2020-04-29T00:00:00"/>
    <n v="162"/>
    <n v="162"/>
    <n v="160"/>
    <n v="160"/>
    <n v="12232300"/>
    <n v="162"/>
    <n v="1"/>
    <n v="159"/>
    <n v="154"/>
    <n v="145"/>
    <n v="1"/>
    <x v="4"/>
    <x v="5"/>
    <n v="2"/>
    <n v="2"/>
    <x v="0"/>
  </r>
  <r>
    <d v="2020-04-30T00:00:00"/>
    <n v="159"/>
    <n v="161"/>
    <n v="158"/>
    <n v="160"/>
    <n v="13633500"/>
    <n v="159"/>
    <n v="-2"/>
    <n v="159"/>
    <n v="154"/>
    <n v="145"/>
    <n v="1"/>
    <x v="4"/>
    <x v="5"/>
    <n v="3"/>
    <n v="2"/>
    <x v="0"/>
  </r>
  <r>
    <d v="2020-05-01T00:00:00"/>
    <n v="160"/>
    <n v="160"/>
    <n v="158"/>
    <n v="158"/>
    <n v="10914300"/>
    <n v="160"/>
    <n v="1"/>
    <n v="160"/>
    <n v="154"/>
    <n v="145"/>
    <n v="1"/>
    <x v="4"/>
    <x v="6"/>
    <n v="4"/>
    <n v="2"/>
    <x v="0"/>
  </r>
  <r>
    <d v="2020-05-04T00:00:00"/>
    <n v="160"/>
    <n v="161"/>
    <n v="160"/>
    <n v="160"/>
    <n v="7986200"/>
    <n v="160"/>
    <n v="0"/>
    <n v="160"/>
    <n v="154"/>
    <n v="145"/>
    <n v="1"/>
    <x v="4"/>
    <x v="6"/>
    <n v="0"/>
    <n v="2"/>
    <x v="0"/>
  </r>
  <r>
    <d v="2020-05-05T00:00:00"/>
    <n v="161"/>
    <n v="161"/>
    <n v="159"/>
    <n v="160"/>
    <n v="10563100"/>
    <n v="161"/>
    <n v="0"/>
    <n v="160"/>
    <n v="154"/>
    <n v="145"/>
    <n v="1"/>
    <x v="4"/>
    <x v="6"/>
    <n v="1"/>
    <n v="2"/>
    <x v="0"/>
  </r>
  <r>
    <d v="2020-05-06T00:00:00"/>
    <n v="159"/>
    <n v="160"/>
    <n v="158"/>
    <n v="159"/>
    <n v="13352000"/>
    <n v="159"/>
    <n v="-1"/>
    <n v="160"/>
    <n v="154"/>
    <n v="145"/>
    <n v="1"/>
    <x v="4"/>
    <x v="6"/>
    <n v="2"/>
    <n v="2"/>
    <x v="0"/>
  </r>
  <r>
    <d v="2020-05-07T00:00:00"/>
    <n v="161"/>
    <n v="162"/>
    <n v="159"/>
    <n v="160"/>
    <n v="13691700"/>
    <n v="161"/>
    <n v="2"/>
    <n v="161"/>
    <n v="155"/>
    <n v="145"/>
    <n v="1"/>
    <x v="4"/>
    <x v="6"/>
    <n v="3"/>
    <n v="2"/>
    <x v="0"/>
  </r>
  <r>
    <d v="2020-05-08T00:00:00"/>
    <n v="160"/>
    <n v="162"/>
    <n v="160"/>
    <n v="161"/>
    <n v="12240900"/>
    <n v="160"/>
    <n v="-1"/>
    <n v="161"/>
    <n v="155"/>
    <n v="146"/>
    <n v="1"/>
    <x v="4"/>
    <x v="6"/>
    <n v="4"/>
    <n v="2"/>
    <x v="0"/>
  </r>
  <r>
    <d v="2020-05-11T00:00:00"/>
    <n v="159"/>
    <n v="161"/>
    <n v="159"/>
    <n v="160"/>
    <n v="11209800"/>
    <n v="159"/>
    <n v="-1"/>
    <n v="161"/>
    <n v="155"/>
    <n v="146"/>
    <n v="1"/>
    <x v="4"/>
    <x v="6"/>
    <n v="0"/>
    <n v="2"/>
    <x v="0"/>
  </r>
  <r>
    <d v="2020-05-12T00:00:00"/>
    <n v="160"/>
    <n v="161"/>
    <n v="160"/>
    <n v="160"/>
    <n v="10406000"/>
    <n v="160"/>
    <n v="0"/>
    <n v="161"/>
    <n v="155"/>
    <n v="146"/>
    <n v="1"/>
    <x v="4"/>
    <x v="6"/>
    <n v="1"/>
    <n v="2"/>
    <x v="0"/>
  </r>
  <r>
    <d v="2020-05-13T00:00:00"/>
    <n v="162"/>
    <n v="162"/>
    <n v="161"/>
    <n v="161"/>
    <n v="10950400"/>
    <n v="162"/>
    <n v="1"/>
    <n v="161"/>
    <n v="155"/>
    <n v="146"/>
    <n v="1"/>
    <x v="4"/>
    <x v="6"/>
    <n v="2"/>
    <n v="2"/>
    <x v="0"/>
  </r>
  <r>
    <d v="2020-05-14T00:00:00"/>
    <n v="163"/>
    <n v="163"/>
    <n v="162"/>
    <n v="162"/>
    <n v="17084400"/>
    <n v="163"/>
    <n v="1"/>
    <n v="161"/>
    <n v="156"/>
    <n v="146"/>
    <n v="1"/>
    <x v="4"/>
    <x v="6"/>
    <n v="3"/>
    <n v="2"/>
    <x v="0"/>
  </r>
  <r>
    <d v="2020-05-15T00:00:00"/>
    <n v="164"/>
    <n v="165"/>
    <n v="163"/>
    <n v="164"/>
    <n v="13918800"/>
    <n v="164"/>
    <n v="1"/>
    <n v="161"/>
    <n v="156"/>
    <n v="146"/>
    <n v="1"/>
    <x v="4"/>
    <x v="6"/>
    <n v="4"/>
    <n v="2"/>
    <x v="0"/>
  </r>
  <r>
    <d v="2020-05-18T00:00:00"/>
    <n v="163"/>
    <n v="165"/>
    <n v="162"/>
    <n v="164"/>
    <n v="14133800"/>
    <n v="163"/>
    <n v="-1"/>
    <n v="161"/>
    <n v="156"/>
    <n v="146"/>
    <n v="1"/>
    <x v="4"/>
    <x v="6"/>
    <n v="0"/>
    <n v="2"/>
    <x v="0"/>
  </r>
  <r>
    <d v="2020-05-19T00:00:00"/>
    <n v="164"/>
    <n v="164"/>
    <n v="163"/>
    <n v="164"/>
    <n v="8535800"/>
    <n v="164"/>
    <n v="1"/>
    <n v="161"/>
    <n v="156"/>
    <n v="146"/>
    <n v="1"/>
    <x v="4"/>
    <x v="6"/>
    <n v="1"/>
    <n v="2"/>
    <x v="0"/>
  </r>
  <r>
    <d v="2020-05-20T00:00:00"/>
    <n v="165"/>
    <n v="165"/>
    <n v="164"/>
    <n v="165"/>
    <n v="10666100"/>
    <n v="165"/>
    <n v="0"/>
    <n v="162"/>
    <n v="156"/>
    <n v="147"/>
    <n v="1"/>
    <x v="4"/>
    <x v="6"/>
    <n v="2"/>
    <n v="2"/>
    <x v="0"/>
  </r>
  <r>
    <d v="2020-05-21T00:00:00"/>
    <n v="162"/>
    <n v="164"/>
    <n v="161"/>
    <n v="163"/>
    <n v="11791000"/>
    <n v="162"/>
    <n v="-1"/>
    <n v="161"/>
    <n v="156"/>
    <n v="147"/>
    <n v="1"/>
    <x v="4"/>
    <x v="6"/>
    <n v="3"/>
    <n v="2"/>
    <x v="0"/>
  </r>
  <r>
    <d v="2020-05-22T00:00:00"/>
    <n v="163"/>
    <n v="163"/>
    <n v="163"/>
    <n v="163"/>
    <n v="8540900"/>
    <n v="163"/>
    <n v="1"/>
    <n v="161"/>
    <n v="157"/>
    <n v="147"/>
    <n v="1"/>
    <x v="4"/>
    <x v="6"/>
    <n v="4"/>
    <n v="2"/>
    <x v="0"/>
  </r>
  <r>
    <d v="2020-05-26T00:00:00"/>
    <n v="161"/>
    <n v="163"/>
    <n v="161"/>
    <n v="163"/>
    <n v="13972000"/>
    <n v="161"/>
    <n v="-1"/>
    <n v="161"/>
    <n v="157"/>
    <n v="147"/>
    <n v="1"/>
    <x v="4"/>
    <x v="6"/>
    <n v="1"/>
    <n v="2"/>
    <x v="0"/>
  </r>
  <r>
    <d v="2020-05-27T00:00:00"/>
    <n v="161"/>
    <n v="161"/>
    <n v="159"/>
    <n v="159"/>
    <n v="13063500"/>
    <n v="161"/>
    <n v="0"/>
    <n v="161"/>
    <n v="157"/>
    <n v="147"/>
    <n v="1"/>
    <x v="4"/>
    <x v="6"/>
    <n v="2"/>
    <n v="2"/>
    <x v="0"/>
  </r>
  <r>
    <d v="2020-05-28T00:00:00"/>
    <n v="162"/>
    <n v="162"/>
    <n v="161"/>
    <n v="162"/>
    <n v="9758500"/>
    <n v="162"/>
    <n v="0"/>
    <n v="161"/>
    <n v="158"/>
    <n v="147"/>
    <n v="1"/>
    <x v="4"/>
    <x v="6"/>
    <n v="3"/>
    <n v="2"/>
    <x v="0"/>
  </r>
  <r>
    <d v="2020-05-29T00:00:00"/>
    <n v="163"/>
    <n v="163"/>
    <n v="162"/>
    <n v="163"/>
    <n v="12581800"/>
    <n v="163"/>
    <n v="1"/>
    <n v="162"/>
    <n v="158"/>
    <n v="147"/>
    <n v="1"/>
    <x v="4"/>
    <x v="6"/>
    <n v="4"/>
    <n v="2"/>
    <x v="0"/>
  </r>
  <r>
    <d v="2020-06-01T00:00:00"/>
    <n v="164"/>
    <n v="164"/>
    <n v="162"/>
    <n v="163"/>
    <n v="8140200"/>
    <n v="164"/>
    <n v="0"/>
    <n v="162"/>
    <n v="159"/>
    <n v="147"/>
    <n v="1"/>
    <x v="4"/>
    <x v="7"/>
    <n v="0"/>
    <n v="2"/>
    <x v="0"/>
  </r>
  <r>
    <d v="2020-06-02T00:00:00"/>
    <n v="163"/>
    <n v="164"/>
    <n v="162"/>
    <n v="164"/>
    <n v="10388900"/>
    <n v="163"/>
    <n v="-1"/>
    <n v="162"/>
    <n v="159"/>
    <n v="147"/>
    <n v="1"/>
    <x v="4"/>
    <x v="7"/>
    <n v="1"/>
    <n v="2"/>
    <x v="0"/>
  </r>
  <r>
    <d v="2020-06-03T00:00:00"/>
    <n v="160"/>
    <n v="161"/>
    <n v="159"/>
    <n v="160"/>
    <n v="17000500"/>
    <n v="160"/>
    <n v="-2"/>
    <n v="162"/>
    <n v="159"/>
    <n v="148"/>
    <n v="1"/>
    <x v="4"/>
    <x v="7"/>
    <n v="2"/>
    <n v="2"/>
    <x v="0"/>
  </r>
  <r>
    <d v="2020-06-04T00:00:00"/>
    <n v="161"/>
    <n v="162"/>
    <n v="160"/>
    <n v="161"/>
    <n v="10094000"/>
    <n v="161"/>
    <n v="1"/>
    <n v="162"/>
    <n v="159"/>
    <n v="148"/>
    <n v="1"/>
    <x v="4"/>
    <x v="7"/>
    <n v="3"/>
    <n v="2"/>
    <x v="0"/>
  </r>
  <r>
    <d v="2020-06-05T00:00:00"/>
    <n v="158"/>
    <n v="159"/>
    <n v="157"/>
    <n v="159"/>
    <n v="16021200"/>
    <n v="158"/>
    <n v="-2"/>
    <n v="162"/>
    <n v="160"/>
    <n v="148"/>
    <n v="1"/>
    <x v="4"/>
    <x v="7"/>
    <n v="4"/>
    <n v="2"/>
    <x v="0"/>
  </r>
  <r>
    <d v="2020-06-08T00:00:00"/>
    <n v="160"/>
    <n v="160"/>
    <n v="158"/>
    <n v="159"/>
    <n v="9244400"/>
    <n v="160"/>
    <n v="1"/>
    <n v="162"/>
    <n v="160"/>
    <n v="148"/>
    <n v="1"/>
    <x v="4"/>
    <x v="7"/>
    <n v="0"/>
    <n v="2"/>
    <x v="0"/>
  </r>
  <r>
    <d v="2020-06-09T00:00:00"/>
    <n v="161"/>
    <n v="162"/>
    <n v="161"/>
    <n v="161"/>
    <n v="9045600"/>
    <n v="161"/>
    <n v="1"/>
    <n v="162"/>
    <n v="160"/>
    <n v="148"/>
    <n v="1"/>
    <x v="4"/>
    <x v="7"/>
    <n v="1"/>
    <n v="2"/>
    <x v="0"/>
  </r>
  <r>
    <d v="2020-06-10T00:00:00"/>
    <n v="164"/>
    <n v="164"/>
    <n v="161"/>
    <n v="162"/>
    <n v="13009300"/>
    <n v="164"/>
    <n v="1"/>
    <n v="162"/>
    <n v="160"/>
    <n v="148"/>
    <n v="1"/>
    <x v="4"/>
    <x v="7"/>
    <n v="2"/>
    <n v="2"/>
    <x v="0"/>
  </r>
  <r>
    <d v="2020-06-11T00:00:00"/>
    <n v="162"/>
    <n v="164"/>
    <n v="162"/>
    <n v="163"/>
    <n v="11673900"/>
    <n v="162"/>
    <n v="-1"/>
    <n v="162"/>
    <n v="160"/>
    <n v="148"/>
    <n v="1"/>
    <x v="4"/>
    <x v="7"/>
    <n v="3"/>
    <n v="2"/>
    <x v="0"/>
  </r>
  <r>
    <d v="2020-06-12T00:00:00"/>
    <n v="163"/>
    <n v="164"/>
    <n v="163"/>
    <n v="163"/>
    <n v="6895400"/>
    <n v="163"/>
    <n v="0"/>
    <n v="162"/>
    <n v="161"/>
    <n v="148"/>
    <n v="1"/>
    <x v="4"/>
    <x v="7"/>
    <n v="4"/>
    <n v="2"/>
    <x v="0"/>
  </r>
  <r>
    <d v="2020-06-15T00:00:00"/>
    <n v="162"/>
    <n v="163"/>
    <n v="160"/>
    <n v="161"/>
    <n v="8532500"/>
    <n v="162"/>
    <n v="0"/>
    <n v="162"/>
    <n v="161"/>
    <n v="148"/>
    <n v="1"/>
    <x v="4"/>
    <x v="7"/>
    <n v="0"/>
    <n v="2"/>
    <x v="0"/>
  </r>
  <r>
    <d v="2020-06-16T00:00:00"/>
    <n v="162"/>
    <n v="163"/>
    <n v="161"/>
    <n v="162"/>
    <n v="7964000"/>
    <n v="162"/>
    <n v="0"/>
    <n v="162"/>
    <n v="161"/>
    <n v="148"/>
    <n v="1"/>
    <x v="4"/>
    <x v="7"/>
    <n v="1"/>
    <n v="2"/>
    <x v="0"/>
  </r>
  <r>
    <d v="2020-06-17T00:00:00"/>
    <n v="163"/>
    <n v="163"/>
    <n v="162"/>
    <n v="162"/>
    <n v="4758200"/>
    <n v="163"/>
    <n v="0"/>
    <n v="162"/>
    <n v="161"/>
    <n v="148"/>
    <n v="1"/>
    <x v="4"/>
    <x v="7"/>
    <n v="2"/>
    <n v="2"/>
    <x v="0"/>
  </r>
  <r>
    <d v="2020-06-18T00:00:00"/>
    <n v="162"/>
    <n v="162"/>
    <n v="161"/>
    <n v="162"/>
    <n v="5397600"/>
    <n v="162"/>
    <n v="0"/>
    <n v="162"/>
    <n v="161"/>
    <n v="149"/>
    <n v="1"/>
    <x v="4"/>
    <x v="7"/>
    <n v="3"/>
    <n v="2"/>
    <x v="0"/>
  </r>
  <r>
    <d v="2020-06-19T00:00:00"/>
    <n v="164"/>
    <n v="164"/>
    <n v="163"/>
    <n v="163"/>
    <n v="12187400"/>
    <n v="164"/>
    <n v="1"/>
    <n v="162"/>
    <n v="162"/>
    <n v="149"/>
    <n v="1"/>
    <x v="4"/>
    <x v="7"/>
    <n v="4"/>
    <n v="2"/>
    <x v="0"/>
  </r>
  <r>
    <d v="2020-06-22T00:00:00"/>
    <n v="165"/>
    <n v="166"/>
    <n v="164"/>
    <n v="165"/>
    <n v="12385600"/>
    <n v="165"/>
    <n v="1"/>
    <n v="162"/>
    <n v="162"/>
    <n v="149"/>
    <n v="1"/>
    <x v="4"/>
    <x v="7"/>
    <n v="0"/>
    <n v="2"/>
    <x v="0"/>
  </r>
  <r>
    <d v="2020-06-23T00:00:00"/>
    <n v="166"/>
    <n v="167"/>
    <n v="166"/>
    <n v="166"/>
    <n v="12137300"/>
    <n v="166"/>
    <n v="1"/>
    <n v="162"/>
    <n v="162"/>
    <n v="149"/>
    <n v="1"/>
    <x v="4"/>
    <x v="7"/>
    <n v="1"/>
    <n v="2"/>
    <x v="0"/>
  </r>
  <r>
    <d v="2020-06-24T00:00:00"/>
    <n v="166"/>
    <n v="167"/>
    <n v="165"/>
    <n v="166"/>
    <n v="10901400"/>
    <n v="166"/>
    <n v="0"/>
    <n v="163"/>
    <n v="162"/>
    <n v="149"/>
    <n v="1"/>
    <x v="4"/>
    <x v="7"/>
    <n v="2"/>
    <n v="2"/>
    <x v="0"/>
  </r>
  <r>
    <d v="2020-06-25T00:00:00"/>
    <n v="166"/>
    <n v="166"/>
    <n v="165"/>
    <n v="166"/>
    <n v="7093800"/>
    <n v="166"/>
    <n v="0"/>
    <n v="163"/>
    <n v="162"/>
    <n v="149"/>
    <n v="1"/>
    <x v="4"/>
    <x v="7"/>
    <n v="3"/>
    <n v="2"/>
    <x v="0"/>
  </r>
  <r>
    <d v="2020-06-26T00:00:00"/>
    <n v="167"/>
    <n v="167"/>
    <n v="164"/>
    <n v="165"/>
    <n v="9753500"/>
    <n v="167"/>
    <n v="0"/>
    <n v="163"/>
    <n v="162"/>
    <n v="149"/>
    <n v="1"/>
    <x v="4"/>
    <x v="7"/>
    <n v="4"/>
    <n v="2"/>
    <x v="0"/>
  </r>
  <r>
    <d v="2020-06-29T00:00:00"/>
    <n v="167"/>
    <n v="167"/>
    <n v="166"/>
    <n v="167"/>
    <n v="6735700"/>
    <n v="167"/>
    <n v="0"/>
    <n v="163"/>
    <n v="162"/>
    <n v="149"/>
    <n v="1"/>
    <x v="4"/>
    <x v="7"/>
    <n v="0"/>
    <n v="2"/>
    <x v="0"/>
  </r>
  <r>
    <d v="2020-06-30T00:00:00"/>
    <n v="167"/>
    <n v="168"/>
    <n v="166"/>
    <n v="166"/>
    <n v="12762300"/>
    <n v="167"/>
    <n v="0"/>
    <n v="163"/>
    <n v="162"/>
    <n v="149"/>
    <n v="1"/>
    <x v="4"/>
    <x v="7"/>
    <n v="1"/>
    <n v="2"/>
    <x v="0"/>
  </r>
  <r>
    <d v="2020-07-01T00:00:00"/>
    <n v="167"/>
    <n v="167"/>
    <n v="165"/>
    <n v="167"/>
    <n v="13214800"/>
    <n v="167"/>
    <n v="0"/>
    <n v="164"/>
    <n v="162"/>
    <n v="150"/>
    <n v="1"/>
    <x v="4"/>
    <x v="8"/>
    <n v="2"/>
    <n v="3"/>
    <x v="0"/>
  </r>
  <r>
    <d v="2020-07-02T00:00:00"/>
    <n v="167"/>
    <n v="167"/>
    <n v="166"/>
    <n v="166"/>
    <n v="8753500"/>
    <n v="167"/>
    <n v="0"/>
    <n v="164"/>
    <n v="163"/>
    <n v="150"/>
    <n v="1"/>
    <x v="4"/>
    <x v="8"/>
    <n v="3"/>
    <n v="3"/>
    <x v="0"/>
  </r>
  <r>
    <d v="2020-07-06T00:00:00"/>
    <n v="168"/>
    <n v="168"/>
    <n v="167"/>
    <n v="168"/>
    <n v="7265700"/>
    <n v="168"/>
    <n v="1"/>
    <n v="164"/>
    <n v="163"/>
    <n v="150"/>
    <n v="1"/>
    <x v="4"/>
    <x v="8"/>
    <n v="0"/>
    <n v="3"/>
    <x v="0"/>
  </r>
  <r>
    <d v="2020-07-07T00:00:00"/>
    <n v="169"/>
    <n v="169"/>
    <n v="167"/>
    <n v="167"/>
    <n v="11633100"/>
    <n v="169"/>
    <n v="1"/>
    <n v="165"/>
    <n v="163"/>
    <n v="150"/>
    <n v="1"/>
    <x v="4"/>
    <x v="8"/>
    <n v="1"/>
    <n v="3"/>
    <x v="0"/>
  </r>
  <r>
    <d v="2020-07-08T00:00:00"/>
    <n v="170"/>
    <n v="171"/>
    <n v="170"/>
    <n v="170"/>
    <n v="11662700"/>
    <n v="170"/>
    <n v="1"/>
    <n v="165"/>
    <n v="163"/>
    <n v="150"/>
    <n v="1"/>
    <x v="4"/>
    <x v="8"/>
    <n v="2"/>
    <n v="3"/>
    <x v="0"/>
  </r>
  <r>
    <d v="2020-07-09T00:00:00"/>
    <n v="170"/>
    <n v="171"/>
    <n v="169"/>
    <n v="170"/>
    <n v="13327400"/>
    <n v="170"/>
    <n v="0"/>
    <n v="166"/>
    <n v="163"/>
    <n v="150"/>
    <n v="0"/>
    <x v="4"/>
    <x v="8"/>
    <n v="3"/>
    <n v="3"/>
    <x v="0"/>
  </r>
  <r>
    <d v="2020-07-10T00:00:00"/>
    <n v="169"/>
    <n v="170"/>
    <n v="169"/>
    <n v="170"/>
    <n v="8218000"/>
    <n v="169"/>
    <n v="0"/>
    <n v="166"/>
    <n v="163"/>
    <n v="150"/>
    <n v="0"/>
    <x v="4"/>
    <x v="8"/>
    <n v="4"/>
    <n v="3"/>
    <x v="0"/>
  </r>
  <r>
    <d v="2020-07-13T00:00:00"/>
    <n v="169"/>
    <n v="170"/>
    <n v="169"/>
    <n v="170"/>
    <n v="11095900"/>
    <n v="169"/>
    <n v="0"/>
    <n v="166"/>
    <n v="163"/>
    <n v="151"/>
    <n v="0"/>
    <x v="4"/>
    <x v="8"/>
    <n v="0"/>
    <n v="3"/>
    <x v="0"/>
  </r>
  <r>
    <d v="2020-07-14T00:00:00"/>
    <n v="170"/>
    <n v="170"/>
    <n v="169"/>
    <n v="169"/>
    <n v="9812700"/>
    <n v="170"/>
    <n v="0"/>
    <n v="167"/>
    <n v="164"/>
    <n v="151"/>
    <n v="0"/>
    <x v="4"/>
    <x v="8"/>
    <n v="1"/>
    <n v="3"/>
    <x v="0"/>
  </r>
  <r>
    <d v="2020-07-15T00:00:00"/>
    <n v="170"/>
    <n v="170"/>
    <n v="169"/>
    <n v="170"/>
    <n v="7533800"/>
    <n v="170"/>
    <n v="0"/>
    <n v="167"/>
    <n v="164"/>
    <n v="151"/>
    <n v="0"/>
    <x v="4"/>
    <x v="8"/>
    <n v="2"/>
    <n v="3"/>
    <x v="0"/>
  </r>
  <r>
    <d v="2020-07-16T00:00:00"/>
    <n v="169"/>
    <n v="170"/>
    <n v="169"/>
    <n v="170"/>
    <n v="10242400"/>
    <n v="169"/>
    <n v="-1"/>
    <n v="167"/>
    <n v="164"/>
    <n v="151"/>
    <n v="1"/>
    <x v="4"/>
    <x v="8"/>
    <n v="3"/>
    <n v="3"/>
    <x v="0"/>
  </r>
  <r>
    <d v="2020-07-17T00:00:00"/>
    <n v="170"/>
    <n v="170"/>
    <n v="170"/>
    <n v="170"/>
    <n v="10296000"/>
    <n v="170"/>
    <n v="1"/>
    <n v="168"/>
    <n v="164"/>
    <n v="151"/>
    <n v="1"/>
    <x v="4"/>
    <x v="8"/>
    <n v="4"/>
    <n v="3"/>
    <x v="0"/>
  </r>
  <r>
    <d v="2020-07-20T00:00:00"/>
    <n v="171"/>
    <n v="171"/>
    <n v="170"/>
    <n v="171"/>
    <n v="10095500"/>
    <n v="171"/>
    <n v="0"/>
    <n v="168"/>
    <n v="164"/>
    <n v="151"/>
    <n v="0"/>
    <x v="4"/>
    <x v="8"/>
    <n v="0"/>
    <n v="3"/>
    <x v="0"/>
  </r>
  <r>
    <d v="2020-07-21T00:00:00"/>
    <n v="173"/>
    <n v="173"/>
    <n v="172"/>
    <n v="173"/>
    <n v="12826100"/>
    <n v="173"/>
    <n v="1"/>
    <n v="169"/>
    <n v="165"/>
    <n v="151"/>
    <n v="1"/>
    <x v="4"/>
    <x v="8"/>
    <n v="1"/>
    <n v="3"/>
    <x v="0"/>
  </r>
  <r>
    <d v="2020-07-22T00:00:00"/>
    <n v="176"/>
    <n v="176"/>
    <n v="174"/>
    <n v="174"/>
    <n v="18712500"/>
    <n v="176"/>
    <n v="2"/>
    <n v="169"/>
    <n v="165"/>
    <n v="152"/>
    <n v="1"/>
    <x v="4"/>
    <x v="8"/>
    <n v="2"/>
    <n v="3"/>
    <x v="0"/>
  </r>
  <r>
    <d v="2020-07-23T00:00:00"/>
    <n v="177"/>
    <n v="178"/>
    <n v="176"/>
    <n v="176"/>
    <n v="23006800"/>
    <n v="177"/>
    <n v="1"/>
    <n v="170"/>
    <n v="165"/>
    <n v="152"/>
    <n v="1"/>
    <x v="4"/>
    <x v="8"/>
    <n v="3"/>
    <n v="3"/>
    <x v="0"/>
  </r>
  <r>
    <d v="2020-07-24T00:00:00"/>
    <n v="179"/>
    <n v="179"/>
    <n v="178"/>
    <n v="179"/>
    <n v="15601300"/>
    <n v="179"/>
    <n v="1"/>
    <n v="170"/>
    <n v="166"/>
    <n v="152"/>
    <n v="1"/>
    <x v="4"/>
    <x v="8"/>
    <n v="4"/>
    <n v="3"/>
    <x v="0"/>
  </r>
  <r>
    <d v="2020-07-27T00:00:00"/>
    <n v="182"/>
    <n v="183"/>
    <n v="182"/>
    <n v="182"/>
    <n v="21115600"/>
    <n v="182"/>
    <n v="2"/>
    <n v="171"/>
    <n v="166"/>
    <n v="152"/>
    <n v="1"/>
    <x v="4"/>
    <x v="8"/>
    <n v="0"/>
    <n v="3"/>
    <x v="0"/>
  </r>
  <r>
    <d v="2020-07-28T00:00:00"/>
    <n v="184"/>
    <n v="184"/>
    <n v="181"/>
    <n v="182"/>
    <n v="21164600"/>
    <n v="184"/>
    <n v="1"/>
    <n v="172"/>
    <n v="167"/>
    <n v="152"/>
    <n v="1"/>
    <x v="4"/>
    <x v="8"/>
    <n v="1"/>
    <n v="3"/>
    <x v="0"/>
  </r>
  <r>
    <d v="2020-07-29T00:00:00"/>
    <n v="185"/>
    <n v="186"/>
    <n v="182"/>
    <n v="184"/>
    <n v="25640100"/>
    <n v="185"/>
    <n v="1"/>
    <n v="173"/>
    <n v="167"/>
    <n v="153"/>
    <n v="1"/>
    <x v="4"/>
    <x v="8"/>
    <n v="2"/>
    <n v="3"/>
    <x v="0"/>
  </r>
  <r>
    <d v="2020-07-30T00:00:00"/>
    <n v="184"/>
    <n v="184"/>
    <n v="182"/>
    <n v="183"/>
    <n v="18061200"/>
    <n v="184"/>
    <n v="-1"/>
    <n v="174"/>
    <n v="167"/>
    <n v="153"/>
    <n v="1"/>
    <x v="4"/>
    <x v="8"/>
    <n v="3"/>
    <n v="3"/>
    <x v="0"/>
  </r>
  <r>
    <d v="2020-07-31T00:00:00"/>
    <n v="185"/>
    <n v="186"/>
    <n v="184"/>
    <n v="185"/>
    <n v="15876700"/>
    <n v="185"/>
    <n v="1"/>
    <n v="175"/>
    <n v="168"/>
    <n v="153"/>
    <n v="1"/>
    <x v="4"/>
    <x v="8"/>
    <n v="4"/>
    <n v="3"/>
    <x v="0"/>
  </r>
  <r>
    <d v="2020-08-03T00:00:00"/>
    <n v="186"/>
    <n v="186"/>
    <n v="184"/>
    <n v="185"/>
    <n v="12897000"/>
    <n v="186"/>
    <n v="0"/>
    <n v="175"/>
    <n v="168"/>
    <n v="153"/>
    <n v="1"/>
    <x v="4"/>
    <x v="9"/>
    <n v="0"/>
    <n v="3"/>
    <x v="0"/>
  </r>
  <r>
    <d v="2020-08-04T00:00:00"/>
    <n v="190"/>
    <n v="190"/>
    <n v="185"/>
    <n v="186"/>
    <n v="20773200"/>
    <n v="190"/>
    <n v="2"/>
    <n v="176"/>
    <n v="169"/>
    <n v="154"/>
    <n v="1"/>
    <x v="4"/>
    <x v="9"/>
    <n v="1"/>
    <n v="3"/>
    <x v="0"/>
  </r>
  <r>
    <d v="2020-08-05T00:00:00"/>
    <n v="191"/>
    <n v="193"/>
    <n v="191"/>
    <n v="192"/>
    <n v="27078100"/>
    <n v="191"/>
    <n v="1"/>
    <n v="177"/>
    <n v="169"/>
    <n v="154"/>
    <n v="1"/>
    <x v="4"/>
    <x v="9"/>
    <n v="2"/>
    <n v="3"/>
    <x v="0"/>
  </r>
  <r>
    <d v="2020-08-06T00:00:00"/>
    <n v="194"/>
    <n v="194"/>
    <n v="193"/>
    <n v="194"/>
    <n v="20640100"/>
    <n v="194"/>
    <n v="1"/>
    <n v="179"/>
    <n v="170"/>
    <n v="154"/>
    <n v="1"/>
    <x v="4"/>
    <x v="9"/>
    <n v="3"/>
    <n v="3"/>
    <x v="0"/>
  </r>
  <r>
    <d v="2020-08-07T00:00:00"/>
    <n v="191"/>
    <n v="193"/>
    <n v="189"/>
    <n v="193"/>
    <n v="24570200"/>
    <n v="191"/>
    <n v="-2"/>
    <n v="180"/>
    <n v="171"/>
    <n v="154"/>
    <n v="1"/>
    <x v="4"/>
    <x v="9"/>
    <n v="4"/>
    <n v="3"/>
    <x v="0"/>
  </r>
  <r>
    <d v="2020-08-10T00:00:00"/>
    <n v="190"/>
    <n v="193"/>
    <n v="190"/>
    <n v="191"/>
    <n v="19047200"/>
    <n v="190"/>
    <n v="0"/>
    <n v="181"/>
    <n v="171"/>
    <n v="155"/>
    <n v="1"/>
    <x v="4"/>
    <x v="9"/>
    <n v="0"/>
    <n v="3"/>
    <x v="0"/>
  </r>
  <r>
    <d v="2020-08-11T00:00:00"/>
    <n v="180"/>
    <n v="184"/>
    <n v="179"/>
    <n v="184"/>
    <n v="45355000"/>
    <n v="180"/>
    <n v="-5"/>
    <n v="181"/>
    <n v="171"/>
    <n v="155"/>
    <n v="2"/>
    <x v="4"/>
    <x v="9"/>
    <n v="1"/>
    <n v="3"/>
    <x v="0"/>
  </r>
  <r>
    <d v="2020-08-12T00:00:00"/>
    <n v="179"/>
    <n v="183"/>
    <n v="179"/>
    <n v="183"/>
    <n v="28660500"/>
    <n v="179"/>
    <n v="0"/>
    <n v="182"/>
    <n v="172"/>
    <n v="155"/>
    <n v="2"/>
    <x v="4"/>
    <x v="9"/>
    <n v="2"/>
    <n v="3"/>
    <x v="0"/>
  </r>
  <r>
    <d v="2020-08-13T00:00:00"/>
    <n v="183"/>
    <n v="185"/>
    <n v="181"/>
    <n v="182"/>
    <n v="18596800"/>
    <n v="183"/>
    <n v="2"/>
    <n v="182"/>
    <n v="172"/>
    <n v="155"/>
    <n v="2"/>
    <x v="4"/>
    <x v="9"/>
    <n v="3"/>
    <n v="3"/>
    <x v="0"/>
  </r>
  <r>
    <d v="2020-08-14T00:00:00"/>
    <n v="183"/>
    <n v="184"/>
    <n v="181"/>
    <n v="183"/>
    <n v="11792000"/>
    <n v="183"/>
    <n v="0"/>
    <n v="183"/>
    <n v="173"/>
    <n v="155"/>
    <n v="2"/>
    <x v="4"/>
    <x v="9"/>
    <n v="4"/>
    <n v="3"/>
    <x v="0"/>
  </r>
  <r>
    <d v="2020-08-17T00:00:00"/>
    <n v="187"/>
    <n v="187"/>
    <n v="185"/>
    <n v="185"/>
    <n v="15709800"/>
    <n v="187"/>
    <n v="2"/>
    <n v="184"/>
    <n v="173"/>
    <n v="156"/>
    <n v="2"/>
    <x v="4"/>
    <x v="9"/>
    <n v="0"/>
    <n v="3"/>
    <x v="0"/>
  </r>
  <r>
    <d v="2020-08-18T00:00:00"/>
    <n v="188"/>
    <n v="189"/>
    <n v="186"/>
    <n v="189"/>
    <n v="16291600"/>
    <n v="188"/>
    <n v="1"/>
    <n v="185"/>
    <n v="174"/>
    <n v="156"/>
    <n v="2"/>
    <x v="4"/>
    <x v="9"/>
    <n v="1"/>
    <n v="3"/>
    <x v="0"/>
  </r>
  <r>
    <d v="2020-08-19T00:00:00"/>
    <n v="182"/>
    <n v="187"/>
    <n v="182"/>
    <n v="187"/>
    <n v="24646900"/>
    <n v="182"/>
    <n v="-3"/>
    <n v="185"/>
    <n v="174"/>
    <n v="156"/>
    <n v="2"/>
    <x v="4"/>
    <x v="9"/>
    <n v="2"/>
    <n v="3"/>
    <x v="0"/>
  </r>
  <r>
    <d v="2020-08-20T00:00:00"/>
    <n v="184"/>
    <n v="184"/>
    <n v="181"/>
    <n v="181"/>
    <n v="16692200"/>
    <n v="184"/>
    <n v="1"/>
    <n v="185"/>
    <n v="175"/>
    <n v="156"/>
    <n v="2"/>
    <x v="4"/>
    <x v="9"/>
    <n v="3"/>
    <n v="3"/>
    <x v="0"/>
  </r>
  <r>
    <d v="2020-08-21T00:00:00"/>
    <n v="182"/>
    <n v="183"/>
    <n v="180"/>
    <n v="182"/>
    <n v="12713700"/>
    <n v="182"/>
    <n v="-1"/>
    <n v="185"/>
    <n v="175"/>
    <n v="156"/>
    <n v="2"/>
    <x v="4"/>
    <x v="9"/>
    <n v="4"/>
    <n v="3"/>
    <x v="0"/>
  </r>
  <r>
    <d v="2020-08-24T00:00:00"/>
    <n v="181"/>
    <n v="183"/>
    <n v="181"/>
    <n v="183"/>
    <n v="11605800"/>
    <n v="181"/>
    <n v="-1"/>
    <n v="185"/>
    <n v="175"/>
    <n v="157"/>
    <n v="2"/>
    <x v="4"/>
    <x v="9"/>
    <n v="0"/>
    <n v="3"/>
    <x v="0"/>
  </r>
  <r>
    <d v="2020-08-25T00:00:00"/>
    <n v="181"/>
    <n v="181"/>
    <n v="180"/>
    <n v="181"/>
    <n v="10056100"/>
    <n v="181"/>
    <n v="0"/>
    <n v="185"/>
    <n v="176"/>
    <n v="157"/>
    <n v="2"/>
    <x v="4"/>
    <x v="9"/>
    <n v="1"/>
    <n v="3"/>
    <x v="0"/>
  </r>
  <r>
    <d v="2020-08-26T00:00:00"/>
    <n v="183"/>
    <n v="184"/>
    <n v="180"/>
    <n v="180"/>
    <n v="12715800"/>
    <n v="183"/>
    <n v="1"/>
    <n v="185"/>
    <n v="176"/>
    <n v="157"/>
    <n v="2"/>
    <x v="4"/>
    <x v="9"/>
    <n v="2"/>
    <n v="3"/>
    <x v="0"/>
  </r>
  <r>
    <d v="2020-08-27T00:00:00"/>
    <n v="181"/>
    <n v="185"/>
    <n v="179"/>
    <n v="185"/>
    <n v="16299200"/>
    <n v="181"/>
    <n v="-1"/>
    <n v="185"/>
    <n v="177"/>
    <n v="157"/>
    <n v="2"/>
    <x v="4"/>
    <x v="9"/>
    <n v="3"/>
    <n v="3"/>
    <x v="0"/>
  </r>
  <r>
    <d v="2020-08-28T00:00:00"/>
    <n v="184"/>
    <n v="185"/>
    <n v="183"/>
    <n v="184"/>
    <n v="13200800"/>
    <n v="184"/>
    <n v="2"/>
    <n v="185"/>
    <n v="177"/>
    <n v="158"/>
    <n v="2"/>
    <x v="4"/>
    <x v="9"/>
    <n v="4"/>
    <n v="3"/>
    <x v="0"/>
  </r>
  <r>
    <d v="2020-08-31T00:00:00"/>
    <n v="185"/>
    <n v="186"/>
    <n v="184"/>
    <n v="185"/>
    <n v="10251200"/>
    <n v="185"/>
    <n v="0"/>
    <n v="185"/>
    <n v="177"/>
    <n v="158"/>
    <n v="2"/>
    <x v="4"/>
    <x v="9"/>
    <n v="0"/>
    <n v="3"/>
    <x v="0"/>
  </r>
  <r>
    <d v="2020-09-01T00:00:00"/>
    <n v="185"/>
    <n v="187"/>
    <n v="184"/>
    <n v="187"/>
    <n v="10662100"/>
    <n v="185"/>
    <n v="0"/>
    <n v="185"/>
    <n v="178"/>
    <n v="158"/>
    <n v="2"/>
    <x v="4"/>
    <x v="10"/>
    <n v="1"/>
    <n v="3"/>
    <x v="0"/>
  </r>
  <r>
    <d v="2020-09-02T00:00:00"/>
    <n v="183"/>
    <n v="184"/>
    <n v="182"/>
    <n v="184"/>
    <n v="11536900"/>
    <n v="183"/>
    <n v="-1"/>
    <n v="184"/>
    <n v="178"/>
    <n v="158"/>
    <n v="2"/>
    <x v="4"/>
    <x v="10"/>
    <n v="2"/>
    <n v="3"/>
    <x v="0"/>
  </r>
  <r>
    <d v="2020-09-03T00:00:00"/>
    <n v="181"/>
    <n v="183"/>
    <n v="180"/>
    <n v="182"/>
    <n v="12148100"/>
    <n v="181"/>
    <n v="-1"/>
    <n v="184"/>
    <n v="178"/>
    <n v="158"/>
    <n v="2"/>
    <x v="4"/>
    <x v="10"/>
    <n v="3"/>
    <n v="3"/>
    <x v="0"/>
  </r>
  <r>
    <d v="2020-09-04T00:00:00"/>
    <n v="182"/>
    <n v="182"/>
    <n v="180"/>
    <n v="181"/>
    <n v="11567900"/>
    <n v="182"/>
    <n v="0"/>
    <n v="183"/>
    <n v="179"/>
    <n v="159"/>
    <n v="2"/>
    <x v="4"/>
    <x v="10"/>
    <n v="4"/>
    <n v="3"/>
    <x v="0"/>
  </r>
  <r>
    <d v="2020-09-08T00:00:00"/>
    <n v="181"/>
    <n v="182"/>
    <n v="179"/>
    <n v="180"/>
    <n v="13229200"/>
    <n v="181"/>
    <n v="0"/>
    <n v="183"/>
    <n v="179"/>
    <n v="159"/>
    <n v="2"/>
    <x v="4"/>
    <x v="10"/>
    <n v="1"/>
    <n v="3"/>
    <x v="0"/>
  </r>
  <r>
    <d v="2020-09-09T00:00:00"/>
    <n v="183"/>
    <n v="183"/>
    <n v="182"/>
    <n v="183"/>
    <n v="8424100"/>
    <n v="183"/>
    <n v="1"/>
    <n v="183"/>
    <n v="179"/>
    <n v="159"/>
    <n v="1"/>
    <x v="4"/>
    <x v="10"/>
    <n v="2"/>
    <n v="3"/>
    <x v="0"/>
  </r>
  <r>
    <d v="2020-09-10T00:00:00"/>
    <n v="182"/>
    <n v="185"/>
    <n v="182"/>
    <n v="184"/>
    <n v="9143600"/>
    <n v="182"/>
    <n v="0"/>
    <n v="183"/>
    <n v="180"/>
    <n v="159"/>
    <n v="1"/>
    <x v="4"/>
    <x v="10"/>
    <n v="3"/>
    <n v="3"/>
    <x v="0"/>
  </r>
  <r>
    <d v="2020-09-11T00:00:00"/>
    <n v="182"/>
    <n v="184"/>
    <n v="182"/>
    <n v="183"/>
    <n v="7662300"/>
    <n v="182"/>
    <n v="0"/>
    <n v="183"/>
    <n v="180"/>
    <n v="160"/>
    <n v="1"/>
    <x v="4"/>
    <x v="10"/>
    <n v="4"/>
    <n v="3"/>
    <x v="0"/>
  </r>
  <r>
    <d v="2020-09-14T00:00:00"/>
    <n v="184"/>
    <n v="184"/>
    <n v="183"/>
    <n v="184"/>
    <n v="9709500"/>
    <n v="184"/>
    <n v="1"/>
    <n v="183"/>
    <n v="180"/>
    <n v="160"/>
    <n v="1"/>
    <x v="4"/>
    <x v="10"/>
    <n v="0"/>
    <n v="3"/>
    <x v="0"/>
  </r>
  <r>
    <d v="2020-09-15T00:00:00"/>
    <n v="183"/>
    <n v="185"/>
    <n v="183"/>
    <n v="184"/>
    <n v="7993700"/>
    <n v="183"/>
    <n v="0"/>
    <n v="183"/>
    <n v="181"/>
    <n v="160"/>
    <n v="1"/>
    <x v="4"/>
    <x v="10"/>
    <n v="1"/>
    <n v="3"/>
    <x v="0"/>
  </r>
  <r>
    <d v="2020-09-16T00:00:00"/>
    <n v="184"/>
    <n v="185"/>
    <n v="183"/>
    <n v="185"/>
    <n v="12702400"/>
    <n v="184"/>
    <n v="0"/>
    <n v="183"/>
    <n v="181"/>
    <n v="160"/>
    <n v="1"/>
    <x v="4"/>
    <x v="10"/>
    <n v="2"/>
    <n v="3"/>
    <x v="0"/>
  </r>
  <r>
    <d v="2020-09-17T00:00:00"/>
    <n v="183"/>
    <n v="183"/>
    <n v="181"/>
    <n v="182"/>
    <n v="8836200"/>
    <n v="183"/>
    <n v="-1"/>
    <n v="183"/>
    <n v="181"/>
    <n v="160"/>
    <n v="1"/>
    <x v="4"/>
    <x v="10"/>
    <n v="3"/>
    <n v="3"/>
    <x v="0"/>
  </r>
  <r>
    <d v="2020-09-18T00:00:00"/>
    <n v="183"/>
    <n v="184"/>
    <n v="183"/>
    <n v="183"/>
    <n v="9959700"/>
    <n v="183"/>
    <n v="0"/>
    <n v="183"/>
    <n v="182"/>
    <n v="161"/>
    <n v="1"/>
    <x v="4"/>
    <x v="10"/>
    <n v="4"/>
    <n v="3"/>
    <x v="0"/>
  </r>
  <r>
    <d v="2020-09-21T00:00:00"/>
    <n v="180"/>
    <n v="180"/>
    <n v="177"/>
    <n v="180"/>
    <n v="17436100"/>
    <n v="180"/>
    <n v="-2"/>
    <n v="183"/>
    <n v="182"/>
    <n v="161"/>
    <n v="1"/>
    <x v="4"/>
    <x v="10"/>
    <n v="0"/>
    <n v="3"/>
    <x v="0"/>
  </r>
  <r>
    <d v="2020-09-22T00:00:00"/>
    <n v="179"/>
    <n v="180"/>
    <n v="178"/>
    <n v="180"/>
    <n v="7977900"/>
    <n v="179"/>
    <n v="0"/>
    <n v="183"/>
    <n v="182"/>
    <n v="161"/>
    <n v="1"/>
    <x v="4"/>
    <x v="10"/>
    <n v="1"/>
    <n v="3"/>
    <x v="0"/>
  </r>
  <r>
    <d v="2020-09-23T00:00:00"/>
    <n v="175"/>
    <n v="177"/>
    <n v="174"/>
    <n v="177"/>
    <n v="18134000"/>
    <n v="175"/>
    <n v="-2"/>
    <n v="182"/>
    <n v="182"/>
    <n v="161"/>
    <n v="1"/>
    <x v="4"/>
    <x v="10"/>
    <n v="2"/>
    <n v="3"/>
    <x v="0"/>
  </r>
  <r>
    <d v="2020-09-24T00:00:00"/>
    <n v="175"/>
    <n v="176"/>
    <n v="174"/>
    <n v="174"/>
    <n v="11759200"/>
    <n v="175"/>
    <n v="0"/>
    <n v="182"/>
    <n v="182"/>
    <n v="161"/>
    <n v="1"/>
    <x v="4"/>
    <x v="10"/>
    <n v="3"/>
    <n v="3"/>
    <x v="0"/>
  </r>
  <r>
    <d v="2020-09-25T00:00:00"/>
    <n v="175"/>
    <n v="175"/>
    <n v="174"/>
    <n v="174"/>
    <n v="6779200"/>
    <n v="175"/>
    <n v="0"/>
    <n v="181"/>
    <n v="182"/>
    <n v="162"/>
    <n v="1"/>
    <x v="4"/>
    <x v="10"/>
    <n v="4"/>
    <n v="3"/>
    <x v="0"/>
  </r>
  <r>
    <d v="2020-09-28T00:00:00"/>
    <n v="177"/>
    <n v="177"/>
    <n v="175"/>
    <n v="176"/>
    <n v="7109700"/>
    <n v="177"/>
    <n v="1"/>
    <n v="181"/>
    <n v="182"/>
    <n v="162"/>
    <n v="1"/>
    <x v="4"/>
    <x v="10"/>
    <n v="0"/>
    <n v="3"/>
    <x v="0"/>
  </r>
  <r>
    <d v="2020-09-29T00:00:00"/>
    <n v="178"/>
    <n v="178"/>
    <n v="177"/>
    <n v="177"/>
    <n v="8718500"/>
    <n v="178"/>
    <n v="1"/>
    <n v="181"/>
    <n v="183"/>
    <n v="162"/>
    <n v="1"/>
    <x v="4"/>
    <x v="10"/>
    <n v="1"/>
    <n v="3"/>
    <x v="0"/>
  </r>
  <r>
    <d v="2020-09-30T00:00:00"/>
    <n v="177"/>
    <n v="179"/>
    <n v="177"/>
    <n v="178"/>
    <n v="8371800"/>
    <n v="177"/>
    <n v="-1"/>
    <n v="180"/>
    <n v="183"/>
    <n v="162"/>
    <n v="1"/>
    <x v="4"/>
    <x v="10"/>
    <n v="2"/>
    <n v="3"/>
    <x v="0"/>
  </r>
  <r>
    <d v="2020-10-01T00:00:00"/>
    <n v="179"/>
    <n v="180"/>
    <n v="178"/>
    <n v="179"/>
    <n v="10402800"/>
    <n v="179"/>
    <n v="1"/>
    <n v="180"/>
    <n v="183"/>
    <n v="162"/>
    <n v="1"/>
    <x v="4"/>
    <x v="11"/>
    <n v="3"/>
    <n v="4"/>
    <x v="0"/>
  </r>
  <r>
    <d v="2020-10-02T00:00:00"/>
    <n v="179"/>
    <n v="179"/>
    <n v="178"/>
    <n v="179"/>
    <n v="7488500"/>
    <n v="179"/>
    <n v="0"/>
    <n v="180"/>
    <n v="183"/>
    <n v="163"/>
    <n v="1"/>
    <x v="4"/>
    <x v="11"/>
    <n v="4"/>
    <n v="4"/>
    <x v="0"/>
  </r>
  <r>
    <d v="2020-10-05T00:00:00"/>
    <n v="179"/>
    <n v="180"/>
    <n v="179"/>
    <n v="179"/>
    <n v="6969600"/>
    <n v="179"/>
    <n v="0"/>
    <n v="180"/>
    <n v="183"/>
    <n v="163"/>
    <n v="1"/>
    <x v="4"/>
    <x v="11"/>
    <n v="0"/>
    <n v="4"/>
    <x v="0"/>
  </r>
  <r>
    <d v="2020-10-06T00:00:00"/>
    <n v="177"/>
    <n v="180"/>
    <n v="177"/>
    <n v="180"/>
    <n v="8632800"/>
    <n v="177"/>
    <n v="-1"/>
    <n v="180"/>
    <n v="183"/>
    <n v="163"/>
    <n v="1"/>
    <x v="4"/>
    <x v="11"/>
    <n v="1"/>
    <n v="4"/>
    <x v="0"/>
  </r>
  <r>
    <d v="2020-10-07T00:00:00"/>
    <n v="177"/>
    <n v="177"/>
    <n v="176"/>
    <n v="177"/>
    <n v="6410900"/>
    <n v="177"/>
    <n v="0"/>
    <n v="179"/>
    <n v="182"/>
    <n v="163"/>
    <n v="1"/>
    <x v="4"/>
    <x v="11"/>
    <n v="2"/>
    <n v="4"/>
    <x v="0"/>
  </r>
  <r>
    <d v="2020-10-08T00:00:00"/>
    <n v="178"/>
    <n v="178"/>
    <n v="177"/>
    <n v="178"/>
    <n v="6530800"/>
    <n v="178"/>
    <n v="0"/>
    <n v="179"/>
    <n v="182"/>
    <n v="163"/>
    <n v="1"/>
    <x v="4"/>
    <x v="11"/>
    <n v="3"/>
    <n v="4"/>
    <x v="0"/>
  </r>
  <r>
    <d v="2020-10-09T00:00:00"/>
    <n v="181"/>
    <n v="181"/>
    <n v="180"/>
    <n v="180"/>
    <n v="15979800"/>
    <n v="181"/>
    <n v="2"/>
    <n v="179"/>
    <n v="182"/>
    <n v="164"/>
    <n v="1"/>
    <x v="4"/>
    <x v="11"/>
    <n v="4"/>
    <n v="4"/>
    <x v="0"/>
  </r>
  <r>
    <d v="2020-10-12T00:00:00"/>
    <n v="181"/>
    <n v="181"/>
    <n v="180"/>
    <n v="181"/>
    <n v="4843000"/>
    <n v="181"/>
    <n v="0"/>
    <n v="179"/>
    <n v="182"/>
    <n v="164"/>
    <n v="1"/>
    <x v="4"/>
    <x v="11"/>
    <n v="0"/>
    <n v="4"/>
    <x v="0"/>
  </r>
  <r>
    <d v="2020-10-13T00:00:00"/>
    <n v="178"/>
    <n v="179"/>
    <n v="177"/>
    <n v="179"/>
    <n v="8384300"/>
    <n v="178"/>
    <n v="-2"/>
    <n v="179"/>
    <n v="182"/>
    <n v="164"/>
    <n v="1"/>
    <x v="4"/>
    <x v="11"/>
    <n v="1"/>
    <n v="4"/>
    <x v="0"/>
  </r>
  <r>
    <d v="2020-10-14T00:00:00"/>
    <n v="178"/>
    <n v="180"/>
    <n v="178"/>
    <n v="179"/>
    <n v="9076600"/>
    <n v="178"/>
    <n v="0"/>
    <n v="178"/>
    <n v="182"/>
    <n v="164"/>
    <n v="1"/>
    <x v="4"/>
    <x v="11"/>
    <n v="2"/>
    <n v="4"/>
    <x v="0"/>
  </r>
  <r>
    <d v="2020-10-15T00:00:00"/>
    <n v="179"/>
    <n v="179"/>
    <n v="178"/>
    <n v="178"/>
    <n v="6815400"/>
    <n v="179"/>
    <n v="0"/>
    <n v="178"/>
    <n v="182"/>
    <n v="164"/>
    <n v="1"/>
    <x v="4"/>
    <x v="11"/>
    <n v="3"/>
    <n v="4"/>
    <x v="0"/>
  </r>
  <r>
    <d v="2020-10-16T00:00:00"/>
    <n v="178"/>
    <n v="179"/>
    <n v="178"/>
    <n v="179"/>
    <n v="7260700"/>
    <n v="178"/>
    <n v="0"/>
    <n v="178"/>
    <n v="181"/>
    <n v="164"/>
    <n v="1"/>
    <x v="4"/>
    <x v="11"/>
    <n v="4"/>
    <n v="4"/>
    <x v="0"/>
  </r>
  <r>
    <d v="2020-10-19T00:00:00"/>
    <n v="178"/>
    <n v="179"/>
    <n v="178"/>
    <n v="179"/>
    <n v="6084400"/>
    <n v="178"/>
    <n v="0"/>
    <n v="178"/>
    <n v="181"/>
    <n v="165"/>
    <n v="1"/>
    <x v="4"/>
    <x v="11"/>
    <n v="0"/>
    <n v="4"/>
    <x v="0"/>
  </r>
  <r>
    <d v="2020-10-20T00:00:00"/>
    <n v="179"/>
    <n v="180"/>
    <n v="178"/>
    <n v="179"/>
    <n v="7121400"/>
    <n v="179"/>
    <n v="0"/>
    <n v="178"/>
    <n v="181"/>
    <n v="165"/>
    <n v="1"/>
    <x v="4"/>
    <x v="11"/>
    <n v="1"/>
    <n v="4"/>
    <x v="0"/>
  </r>
  <r>
    <d v="2020-10-21T00:00:00"/>
    <n v="181"/>
    <n v="181"/>
    <n v="180"/>
    <n v="180"/>
    <n v="7548100"/>
    <n v="181"/>
    <n v="1"/>
    <n v="178"/>
    <n v="181"/>
    <n v="165"/>
    <n v="1"/>
    <x v="4"/>
    <x v="11"/>
    <n v="2"/>
    <n v="4"/>
    <x v="0"/>
  </r>
  <r>
    <d v="2020-10-22T00:00:00"/>
    <n v="179"/>
    <n v="179"/>
    <n v="178"/>
    <n v="179"/>
    <n v="8377000"/>
    <n v="179"/>
    <n v="-1"/>
    <n v="178"/>
    <n v="181"/>
    <n v="165"/>
    <n v="1"/>
    <x v="4"/>
    <x v="11"/>
    <n v="3"/>
    <n v="4"/>
    <x v="0"/>
  </r>
  <r>
    <d v="2020-10-23T00:00:00"/>
    <n v="179"/>
    <n v="179"/>
    <n v="178"/>
    <n v="179"/>
    <n v="5919300"/>
    <n v="179"/>
    <n v="0"/>
    <n v="179"/>
    <n v="181"/>
    <n v="165"/>
    <n v="1"/>
    <x v="4"/>
    <x v="11"/>
    <n v="4"/>
    <n v="4"/>
    <x v="0"/>
  </r>
  <r>
    <d v="2020-10-26T00:00:00"/>
    <n v="179"/>
    <n v="179"/>
    <n v="178"/>
    <n v="179"/>
    <n v="5105100"/>
    <n v="179"/>
    <n v="0"/>
    <n v="179"/>
    <n v="181"/>
    <n v="165"/>
    <n v="1"/>
    <x v="4"/>
    <x v="11"/>
    <n v="0"/>
    <n v="4"/>
    <x v="0"/>
  </r>
  <r>
    <d v="2020-10-27T00:00:00"/>
    <n v="179"/>
    <n v="179"/>
    <n v="179"/>
    <n v="179"/>
    <n v="5826900"/>
    <n v="179"/>
    <n v="0"/>
    <n v="179"/>
    <n v="180"/>
    <n v="166"/>
    <n v="1"/>
    <x v="4"/>
    <x v="11"/>
    <n v="1"/>
    <n v="4"/>
    <x v="0"/>
  </r>
  <r>
    <d v="2020-10-28T00:00:00"/>
    <n v="176"/>
    <n v="177"/>
    <n v="175"/>
    <n v="176"/>
    <n v="11734100"/>
    <n v="176"/>
    <n v="-2"/>
    <n v="179"/>
    <n v="180"/>
    <n v="166"/>
    <n v="1"/>
    <x v="4"/>
    <x v="11"/>
    <n v="2"/>
    <n v="4"/>
    <x v="0"/>
  </r>
  <r>
    <d v="2020-10-29T00:00:00"/>
    <n v="175"/>
    <n v="176"/>
    <n v="175"/>
    <n v="175"/>
    <n v="8474500"/>
    <n v="175"/>
    <n v="0"/>
    <n v="178"/>
    <n v="180"/>
    <n v="166"/>
    <n v="1"/>
    <x v="4"/>
    <x v="11"/>
    <n v="3"/>
    <n v="4"/>
    <x v="0"/>
  </r>
  <r>
    <d v="2020-10-30T00:00:00"/>
    <n v="176"/>
    <n v="177"/>
    <n v="176"/>
    <n v="177"/>
    <n v="7303000"/>
    <n v="176"/>
    <n v="0"/>
    <n v="178"/>
    <n v="180"/>
    <n v="166"/>
    <n v="1"/>
    <x v="4"/>
    <x v="11"/>
    <n v="4"/>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19B321-FF36-4AD5-B4C5-57FA84C976B7}"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9" firstHeaderRow="1" firstDataRow="1" firstDataCol="1"/>
  <pivotFields count="17">
    <pivotField numFmtId="14" showAll="0"/>
    <pivotField numFmtId="2" showAll="0"/>
    <pivotField numFmtId="2" showAll="0"/>
    <pivotField numFmtId="2" showAll="0"/>
    <pivotField numFmtId="2" showAll="0"/>
    <pivotField numFmtId="43" showAll="0"/>
    <pivotField numFmtId="2" showAll="0"/>
    <pivotField showAll="0"/>
    <pivotField showAll="0"/>
    <pivotField showAll="0"/>
    <pivotField showAll="0"/>
    <pivotField dataField="1" showAll="0"/>
    <pivotField axis="axisRow" showAll="0">
      <items count="6">
        <item x="0"/>
        <item x="1"/>
        <item x="2"/>
        <item x="3"/>
        <item x="4"/>
        <item t="default"/>
      </items>
    </pivotField>
    <pivotField showAll="0">
      <items count="13">
        <item x="2"/>
        <item x="3"/>
        <item x="4"/>
        <item x="5"/>
        <item x="6"/>
        <item x="7"/>
        <item x="8"/>
        <item x="9"/>
        <item x="10"/>
        <item x="11"/>
        <item x="0"/>
        <item x="1"/>
        <item t="default"/>
      </items>
    </pivotField>
    <pivotField showAll="0"/>
    <pivotField showAll="0"/>
    <pivotField showAll="0">
      <items count="4">
        <item x="1"/>
        <item x="2"/>
        <item x="0"/>
        <item t="default"/>
      </items>
    </pivotField>
  </pivotFields>
  <rowFields count="1">
    <field x="12"/>
  </rowFields>
  <rowItems count="6">
    <i>
      <x/>
    </i>
    <i>
      <x v="1"/>
    </i>
    <i>
      <x v="2"/>
    </i>
    <i>
      <x v="3"/>
    </i>
    <i>
      <x v="4"/>
    </i>
    <i t="grand">
      <x/>
    </i>
  </rowItems>
  <colItems count="1">
    <i/>
  </colItems>
  <dataFields count="1">
    <dataField name="Volatility Trend" fld="11" subtotal="average" baseField="1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03EA17-E5B2-43BC-B518-BC425AD89CE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7" firstHeaderRow="1" firstDataRow="1" firstDataCol="1"/>
  <pivotFields count="17">
    <pivotField numFmtId="14" showAll="0"/>
    <pivotField numFmtId="2" showAll="0"/>
    <pivotField numFmtId="2" showAll="0"/>
    <pivotField numFmtId="2" showAll="0"/>
    <pivotField numFmtId="2" showAll="0"/>
    <pivotField numFmtId="43" showAll="0"/>
    <pivotField numFmtId="2" showAll="0"/>
    <pivotField showAll="0"/>
    <pivotField showAll="0"/>
    <pivotField showAll="0"/>
    <pivotField showAll="0"/>
    <pivotField showAll="0"/>
    <pivotField showAll="0">
      <items count="6">
        <item x="0"/>
        <item x="1"/>
        <item x="2"/>
        <item x="3"/>
        <item x="4"/>
        <item t="default"/>
      </items>
    </pivotField>
    <pivotField showAll="0">
      <items count="13">
        <item x="2"/>
        <item x="3"/>
        <item x="4"/>
        <item x="5"/>
        <item x="6"/>
        <item x="7"/>
        <item x="8"/>
        <item x="9"/>
        <item x="10"/>
        <item x="11"/>
        <item x="0"/>
        <item x="1"/>
        <item t="default"/>
      </items>
    </pivotField>
    <pivotField showAll="0"/>
    <pivotField showAll="0"/>
    <pivotField axis="axisRow" dataField="1" showAll="0">
      <items count="4">
        <item x="1"/>
        <item x="2"/>
        <item x="0"/>
        <item t="default"/>
      </items>
    </pivotField>
  </pivotFields>
  <rowFields count="1">
    <field x="16"/>
  </rowFields>
  <rowItems count="4">
    <i>
      <x/>
    </i>
    <i>
      <x v="1"/>
    </i>
    <i>
      <x v="2"/>
    </i>
    <i t="grand">
      <x/>
    </i>
  </rowItems>
  <colItems count="1">
    <i/>
  </colItems>
  <dataFields count="1">
    <dataField name="Market Signal Distribution" fld="16"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106ADF-5347-462A-A576-119173CEE4C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6" firstHeaderRow="1" firstDataRow="1" firstDataCol="1"/>
  <pivotFields count="17">
    <pivotField numFmtId="14" showAll="0"/>
    <pivotField dataField="1" numFmtId="2" showAll="0"/>
    <pivotField numFmtId="2" showAll="0"/>
    <pivotField numFmtId="2" showAll="0"/>
    <pivotField numFmtId="2" showAll="0"/>
    <pivotField numFmtId="43" showAll="0"/>
    <pivotField numFmtId="2" showAll="0"/>
    <pivotField showAll="0"/>
    <pivotField showAll="0"/>
    <pivotField showAll="0"/>
    <pivotField showAll="0"/>
    <pivotField showAll="0"/>
    <pivotField showAll="0">
      <items count="6">
        <item x="0"/>
        <item x="1"/>
        <item x="2"/>
        <item x="3"/>
        <item x="4"/>
        <item t="default"/>
      </items>
    </pivotField>
    <pivotField axis="axisRow" showAll="0">
      <items count="13">
        <item x="2"/>
        <item x="3"/>
        <item x="4"/>
        <item x="5"/>
        <item x="6"/>
        <item x="7"/>
        <item x="8"/>
        <item x="9"/>
        <item x="10"/>
        <item x="11"/>
        <item x="0"/>
        <item x="1"/>
        <item t="default"/>
      </items>
    </pivotField>
    <pivotField showAll="0"/>
    <pivotField showAll="0"/>
    <pivotField showAll="0">
      <items count="4">
        <item x="1"/>
        <item x="2"/>
        <item x="0"/>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Monthly Trend" fld="1" subtotal="average" baseField="13"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AAF93-D35D-4F2D-9883-C6C624940FC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numFmtId="14" showAll="0"/>
    <pivotField dataField="1" numFmtId="2" showAll="0"/>
    <pivotField numFmtId="2" showAll="0"/>
    <pivotField numFmtId="2" showAll="0"/>
    <pivotField numFmtId="2" showAll="0"/>
    <pivotField numFmtId="43" showAll="0"/>
    <pivotField numFmtId="2" showAll="0"/>
    <pivotField showAll="0"/>
    <pivotField showAll="0"/>
    <pivotField showAll="0"/>
    <pivotField showAll="0"/>
    <pivotField showAll="0"/>
    <pivotField axis="axisRow" showAll="0">
      <items count="6">
        <item x="0"/>
        <item x="1"/>
        <item x="2"/>
        <item x="3"/>
        <item x="4"/>
        <item t="default"/>
      </items>
    </pivotField>
    <pivotField showAll="0">
      <items count="13">
        <item x="2"/>
        <item x="3"/>
        <item x="4"/>
        <item x="5"/>
        <item x="6"/>
        <item x="7"/>
        <item x="8"/>
        <item x="9"/>
        <item x="10"/>
        <item x="11"/>
        <item x="0"/>
        <item x="1"/>
        <item t="default"/>
      </items>
    </pivotField>
    <pivotField showAll="0"/>
    <pivotField showAll="0"/>
    <pivotField showAll="0">
      <items count="4">
        <item x="1"/>
        <item x="2"/>
        <item x="0"/>
        <item t="default"/>
      </items>
    </pivotField>
  </pivotFields>
  <rowFields count="1">
    <field x="12"/>
  </rowFields>
  <rowItems count="6">
    <i>
      <x/>
    </i>
    <i>
      <x v="1"/>
    </i>
    <i>
      <x v="2"/>
    </i>
    <i>
      <x v="3"/>
    </i>
    <i>
      <x v="4"/>
    </i>
    <i t="grand">
      <x/>
    </i>
  </rowItems>
  <colItems count="1">
    <i/>
  </colItems>
  <dataFields count="1">
    <dataField name="Average Gold Price by Year" fld="1" subtotal="average" baseField="12"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F2F79E-140B-4FFD-815D-BA4A44AC0A6E}" autoFormatId="16" applyNumberFormats="0" applyBorderFormats="0" applyFontFormats="0" applyPatternFormats="0" applyAlignmentFormats="0" applyWidthHeightFormats="0">
  <queryTableRefresh nextId="18">
    <queryTableFields count="17">
      <queryTableField id="1" name="Date" tableColumnId="1"/>
      <queryTableField id="2" name="Close_Price" tableColumnId="2"/>
      <queryTableField id="3" name="High" tableColumnId="3"/>
      <queryTableField id="4" name="Low" tableColumnId="4"/>
      <queryTableField id="5" name="Open_Price" tableColumnId="5"/>
      <queryTableField id="6" name="Volume" tableColumnId="6"/>
      <queryTableField id="7" name="Adj_Close" tableColumnId="7"/>
      <queryTableField id="8" name="Daily_Return" tableColumnId="8"/>
      <queryTableField id="9" name="MA_20" tableColumnId="9"/>
      <queryTableField id="10" name="MA_50" tableColumnId="10"/>
      <queryTableField id="11" name="MA_200" tableColumnId="11"/>
      <queryTableField id="12" name="Volatility_20" tableColumnId="12"/>
      <queryTableField id="13" name="Year" tableColumnId="13"/>
      <queryTableField id="14" name="Month" tableColumnId="14"/>
      <queryTableField id="15" name="Day_of_Week" tableColumnId="15"/>
      <queryTableField id="16" name="Quarter" tableColumnId="16"/>
      <queryTableField id="17" name="market_signal"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FCA06F-DCA1-49A3-81BB-BD39FCF379EC}" sourceName="Year">
  <pivotTables>
    <pivotTable tabId="3" name="PivotTable2"/>
    <pivotTable tabId="3" name="PivotTable1"/>
    <pivotTable tabId="3" name="PivotTable3"/>
    <pivotTable tabId="3" name="PivotTable4"/>
  </pivotTables>
  <data>
    <tabular pivotCacheId="125326248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DAC6AE-045F-49D3-BDF5-B4FDD2C8A991}" sourceName="Month">
  <pivotTables>
    <pivotTable tabId="3" name="PivotTable2"/>
    <pivotTable tabId="3" name="PivotTable1"/>
    <pivotTable tabId="3" name="PivotTable3"/>
    <pivotTable tabId="3" name="PivotTable4"/>
  </pivotTables>
  <data>
    <tabular pivotCacheId="1253262489">
      <items count="12">
        <i x="2" s="1"/>
        <i x="3" s="1"/>
        <i x="4" s="1"/>
        <i x="5" s="1"/>
        <i x="6" s="1"/>
        <i x="7" s="1"/>
        <i x="8" s="1"/>
        <i x="9" s="1"/>
        <i x="10" s="1"/>
        <i x="11"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gnal" xr10:uid="{852148FD-BC4C-44F0-BDB0-D0A783FFB660}" sourceName="market_signal">
  <pivotTables>
    <pivotTable tabId="3" name="PivotTable2"/>
    <pivotTable tabId="3" name="PivotTable1"/>
    <pivotTable tabId="3" name="PivotTable3"/>
    <pivotTable tabId="3" name="PivotTable4"/>
  </pivotTables>
  <data>
    <tabular pivotCacheId="12532624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6CB4BE-471D-457D-BF1F-EF0F7B688C7B}" cache="Slicer_Year" caption="Year" columnCount="2" style="Slicer Style 1" rowHeight="234950"/>
  <slicer name="Month" xr10:uid="{BD7E07B3-1417-4E3D-BD2C-D2C04A0BFD31}" cache="Slicer_Month" caption="Month" columnCount="4" style="Slicer Style 1" rowHeight="234950"/>
  <slicer name="market_signal" xr10:uid="{1A9C5F3F-F907-4821-A62D-9DCA07853F5B}" cache="Slicer_market_signal" caption="market_signal"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BC90B-E57D-4939-9F95-DDB99D9E5DD2}" name="GoldData" displayName="GoldData" ref="A1:Q1001" tableType="queryTable" totalsRowShown="0">
  <autoFilter ref="A1:Q1001" xr:uid="{550BC90B-E57D-4939-9F95-DDB99D9E5DD2}"/>
  <tableColumns count="17">
    <tableColumn id="1" xr3:uid="{ABC681F3-00FC-492C-B528-371C1DCF07BD}" uniqueName="1" name="Date" queryTableFieldId="1" dataDxfId="7"/>
    <tableColumn id="2" xr3:uid="{06512D80-5DCE-4F2F-B2E4-483AA083DBAC}" uniqueName="2" name="Close_Price" queryTableFieldId="2" dataDxfId="5"/>
    <tableColumn id="3" xr3:uid="{5E84CCE2-0A9C-458C-8F53-E99E3FCBEE5B}" uniqueName="3" name="High" queryTableFieldId="3" dataDxfId="4"/>
    <tableColumn id="4" xr3:uid="{25BFEF8D-A5EA-425F-8D25-BE546DAD66C3}" uniqueName="4" name="Low" queryTableFieldId="4" dataDxfId="3"/>
    <tableColumn id="5" xr3:uid="{CE9A9E21-0D26-4B72-ABD4-329CD313AB48}" uniqueName="5" name="Open_Price" queryTableFieldId="5" dataDxfId="2"/>
    <tableColumn id="6" xr3:uid="{839A1C2B-7126-46CE-800D-4CED5F1A8205}" uniqueName="6" name="Volume" queryTableFieldId="6" dataCellStyle="Comma"/>
    <tableColumn id="7" xr3:uid="{171970D2-A6C8-43F5-9003-4A6F9F2B8F91}" uniqueName="7" name="Adj_Close" queryTableFieldId="7" dataDxfId="1"/>
    <tableColumn id="8" xr3:uid="{1D0200AD-703B-4F7B-8045-D2FE79AC9E61}" uniqueName="8" name="Daily_Return" queryTableFieldId="8"/>
    <tableColumn id="9" xr3:uid="{0C9BFB23-A790-43B6-89B7-AADE1006D4B9}" uniqueName="9" name="MA_20" queryTableFieldId="9"/>
    <tableColumn id="10" xr3:uid="{7EBF5EAE-DC35-4665-92CA-E2DAA1599A0C}" uniqueName="10" name="MA_50" queryTableFieldId="10"/>
    <tableColumn id="11" xr3:uid="{DB7B80B0-6DCB-49CD-9F19-8E64F940A5C9}" uniqueName="11" name="MA_200" queryTableFieldId="11"/>
    <tableColumn id="12" xr3:uid="{E775D890-6D21-4F95-9608-DA09222DAF54}" uniqueName="12" name="Volatility_20" queryTableFieldId="12"/>
    <tableColumn id="13" xr3:uid="{6BD82D41-039C-4529-A089-1A3316560368}" uniqueName="13" name="Year" queryTableFieldId="13"/>
    <tableColumn id="14" xr3:uid="{A036D515-3664-4279-A97B-E620406C9A04}" uniqueName="14" name="Month" queryTableFieldId="14"/>
    <tableColumn id="15" xr3:uid="{88BEC537-5DC1-49BC-BD22-C91F245C8E97}" uniqueName="15" name="Day_of_Week" queryTableFieldId="15"/>
    <tableColumn id="16" xr3:uid="{F82D86F0-5CC6-43D3-BDEE-855DC0B11A8D}" uniqueName="16" name="Quarter" queryTableFieldId="16"/>
    <tableColumn id="17" xr3:uid="{16B1B6FA-7E9B-4C46-91A1-5D4D10F6AE34}" uniqueName="17" name="market_signal" queryTableFieldId="17"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s://www.mkhululitechnologies.co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35DD-D44F-4890-9985-EA49AE82DAC5}">
  <dimension ref="A1:Y114"/>
  <sheetViews>
    <sheetView showGridLines="0" showRowColHeaders="0" tabSelected="1" zoomScaleNormal="100" workbookViewId="0">
      <selection activeCell="F12" sqref="F12:J12"/>
    </sheetView>
  </sheetViews>
  <sheetFormatPr defaultRowHeight="14.4" x14ac:dyDescent="0.3"/>
  <cols>
    <col min="1" max="11" width="8.88671875" style="8"/>
    <col min="12" max="12" width="18.33203125" style="8" bestFit="1" customWidth="1"/>
    <col min="13" max="16" width="8.88671875" style="8"/>
    <col min="17" max="17" width="31.21875" style="8" bestFit="1" customWidth="1"/>
    <col min="18" max="16384" width="8.88671875" style="8"/>
  </cols>
  <sheetData>
    <row r="1" spans="1:25" x14ac:dyDescent="0.3">
      <c r="A1" s="7"/>
      <c r="B1" s="7"/>
      <c r="C1" s="7"/>
      <c r="D1" s="7"/>
      <c r="E1" s="7"/>
      <c r="F1" s="7"/>
      <c r="G1" s="7"/>
      <c r="H1" s="7"/>
      <c r="I1" s="7"/>
      <c r="J1" s="7"/>
      <c r="K1" s="7"/>
      <c r="L1" s="7"/>
      <c r="M1" s="7"/>
      <c r="N1" s="7"/>
      <c r="O1" s="7"/>
      <c r="P1" s="7"/>
      <c r="Q1" s="7"/>
      <c r="R1" s="7"/>
      <c r="S1" s="7"/>
      <c r="T1" s="7"/>
      <c r="U1" s="7"/>
      <c r="V1" s="7"/>
      <c r="W1" s="7"/>
      <c r="X1" s="7"/>
      <c r="Y1" s="7"/>
    </row>
    <row r="2" spans="1:25" x14ac:dyDescent="0.3">
      <c r="A2" s="7"/>
      <c r="B2" s="7"/>
      <c r="C2" s="7"/>
      <c r="D2" s="7"/>
      <c r="E2" s="7"/>
      <c r="F2" s="7"/>
      <c r="G2" s="7"/>
      <c r="H2" s="7"/>
      <c r="I2" s="7"/>
      <c r="J2" s="7"/>
      <c r="K2" s="7"/>
      <c r="L2" s="7"/>
      <c r="M2" s="7"/>
      <c r="N2" s="7"/>
      <c r="O2" s="7"/>
      <c r="P2" s="7"/>
      <c r="Q2" s="7"/>
      <c r="R2" s="7"/>
      <c r="S2" s="7"/>
      <c r="T2" s="7"/>
      <c r="U2" s="7"/>
      <c r="V2" s="7"/>
      <c r="W2" s="7"/>
      <c r="X2" s="7"/>
      <c r="Y2" s="7"/>
    </row>
    <row r="3" spans="1:25" x14ac:dyDescent="0.3">
      <c r="A3" s="7"/>
      <c r="B3" s="7"/>
      <c r="C3" s="7"/>
      <c r="D3" s="7"/>
      <c r="E3" s="7"/>
      <c r="F3" s="7"/>
      <c r="G3" s="7"/>
      <c r="H3" s="7"/>
      <c r="I3" s="7"/>
      <c r="J3" s="7"/>
      <c r="K3" s="7"/>
      <c r="L3" s="7"/>
      <c r="M3" s="7"/>
      <c r="N3" s="7"/>
      <c r="O3" s="7"/>
      <c r="P3" s="7"/>
      <c r="Q3" s="7"/>
      <c r="R3" s="7"/>
      <c r="S3" s="7"/>
      <c r="T3" s="7"/>
      <c r="U3" s="7"/>
      <c r="V3" s="7"/>
      <c r="W3" s="7"/>
      <c r="X3" s="7"/>
      <c r="Y3" s="7"/>
    </row>
    <row r="4" spans="1:25" x14ac:dyDescent="0.3">
      <c r="A4" s="7"/>
      <c r="B4" s="7"/>
      <c r="C4" s="7"/>
      <c r="D4" s="7"/>
      <c r="E4" s="7"/>
      <c r="F4" s="7"/>
      <c r="G4" s="7"/>
      <c r="H4" s="7"/>
      <c r="I4" s="7"/>
      <c r="J4" s="7"/>
      <c r="K4" s="7"/>
      <c r="L4" s="7"/>
      <c r="M4" s="7"/>
      <c r="N4" s="7"/>
      <c r="O4" s="7"/>
      <c r="P4" s="7"/>
      <c r="Q4" s="7"/>
      <c r="R4" s="7"/>
      <c r="S4" s="7"/>
      <c r="T4" s="7"/>
      <c r="U4" s="7"/>
      <c r="V4" s="7"/>
      <c r="W4" s="7"/>
      <c r="X4" s="7"/>
      <c r="Y4" s="7"/>
    </row>
    <row r="5" spans="1:25" x14ac:dyDescent="0.3">
      <c r="A5" s="7"/>
      <c r="B5" s="7"/>
      <c r="C5" s="7"/>
      <c r="D5" s="7"/>
      <c r="E5" s="7"/>
      <c r="F5" s="7"/>
      <c r="G5" s="7"/>
      <c r="H5" s="7"/>
      <c r="I5" s="7"/>
      <c r="J5" s="7"/>
      <c r="K5" s="7"/>
      <c r="L5" s="7"/>
      <c r="M5" s="7"/>
      <c r="N5" s="7"/>
      <c r="O5" s="7"/>
      <c r="P5" s="7"/>
      <c r="Q5" s="7"/>
      <c r="R5" s="7"/>
      <c r="S5" s="7"/>
      <c r="T5" s="7"/>
      <c r="U5" s="7"/>
      <c r="V5" s="7"/>
      <c r="W5" s="7"/>
      <c r="X5" s="7"/>
      <c r="Y5" s="7"/>
    </row>
    <row r="6" spans="1:25" x14ac:dyDescent="0.3">
      <c r="A6" s="7"/>
      <c r="B6" s="7"/>
      <c r="C6" s="7"/>
      <c r="D6" s="7"/>
      <c r="E6" s="7"/>
      <c r="F6" s="7"/>
      <c r="G6" s="7"/>
      <c r="H6" s="7"/>
      <c r="I6" s="7"/>
      <c r="J6" s="7"/>
      <c r="K6" s="7"/>
      <c r="L6" s="7"/>
      <c r="M6" s="7"/>
      <c r="N6" s="7"/>
      <c r="O6" s="7"/>
      <c r="P6" s="7"/>
      <c r="Q6" s="7"/>
      <c r="R6" s="7"/>
      <c r="S6" s="7"/>
      <c r="T6" s="7"/>
      <c r="U6" s="7"/>
      <c r="V6" s="7"/>
      <c r="W6" s="7"/>
      <c r="X6" s="7"/>
      <c r="Y6" s="7"/>
    </row>
    <row r="7" spans="1:25" x14ac:dyDescent="0.3">
      <c r="A7" s="7"/>
      <c r="B7" s="7"/>
      <c r="C7" s="7"/>
      <c r="D7" s="7"/>
      <c r="E7" s="7"/>
      <c r="F7" s="7"/>
      <c r="G7" s="7"/>
      <c r="H7" s="7"/>
      <c r="I7" s="7"/>
      <c r="J7" s="7"/>
      <c r="K7" s="7"/>
      <c r="L7" s="7"/>
      <c r="M7" s="7"/>
      <c r="N7" s="7"/>
      <c r="O7" s="7"/>
      <c r="P7" s="7"/>
      <c r="Q7" s="7"/>
      <c r="R7" s="7"/>
      <c r="S7" s="7"/>
      <c r="T7" s="7"/>
      <c r="U7" s="7"/>
      <c r="V7" s="7"/>
      <c r="W7" s="7"/>
      <c r="X7" s="7"/>
      <c r="Y7" s="7"/>
    </row>
    <row r="8" spans="1:25" x14ac:dyDescent="0.3">
      <c r="A8" s="7"/>
      <c r="B8" s="7"/>
      <c r="C8" s="7"/>
      <c r="D8" s="7"/>
      <c r="E8" s="7"/>
      <c r="F8" s="7"/>
      <c r="G8" s="7"/>
      <c r="H8" s="7"/>
      <c r="I8" s="7"/>
      <c r="J8" s="7"/>
      <c r="K8" s="7"/>
      <c r="L8" s="7"/>
      <c r="M8" s="7"/>
      <c r="N8" s="7"/>
      <c r="O8" s="7"/>
      <c r="P8" s="7"/>
      <c r="Q8" s="7"/>
      <c r="R8" s="7"/>
      <c r="S8" s="7"/>
      <c r="T8" s="7"/>
      <c r="U8" s="7"/>
      <c r="V8" s="7"/>
      <c r="W8" s="7"/>
      <c r="X8" s="7"/>
      <c r="Y8" s="7"/>
    </row>
    <row r="9" spans="1:25" ht="14.4" customHeight="1" x14ac:dyDescent="0.3">
      <c r="A9" s="9" t="s">
        <v>29</v>
      </c>
      <c r="B9" s="10"/>
      <c r="C9" s="10"/>
      <c r="D9" s="10"/>
      <c r="E9" s="10"/>
      <c r="F9" s="9" t="s">
        <v>26</v>
      </c>
      <c r="G9" s="9"/>
      <c r="H9" s="9"/>
      <c r="I9" s="9"/>
      <c r="J9" s="9"/>
    </row>
    <row r="10" spans="1:25" ht="31.2" customHeight="1" x14ac:dyDescent="0.3">
      <c r="A10" s="10"/>
      <c r="B10" s="10"/>
      <c r="C10" s="10"/>
      <c r="D10" s="10"/>
      <c r="E10" s="10"/>
      <c r="F10" s="9"/>
      <c r="G10" s="9"/>
      <c r="H10" s="9"/>
      <c r="I10" s="9"/>
      <c r="J10" s="9"/>
      <c r="K10" s="9" t="s">
        <v>27</v>
      </c>
      <c r="L10" s="9"/>
      <c r="M10" s="9"/>
      <c r="N10" s="9"/>
      <c r="O10" s="9"/>
      <c r="P10" s="9" t="s">
        <v>28</v>
      </c>
      <c r="Q10" s="9"/>
      <c r="R10" s="9"/>
      <c r="S10" s="9"/>
    </row>
    <row r="11" spans="1:25" ht="14.4" customHeight="1" x14ac:dyDescent="0.3">
      <c r="A11" s="10"/>
      <c r="B11" s="10"/>
      <c r="C11" s="10"/>
      <c r="D11" s="10"/>
      <c r="E11" s="10"/>
      <c r="F11" s="9"/>
      <c r="G11" s="9"/>
      <c r="H11" s="9"/>
      <c r="I11" s="9"/>
      <c r="J11" s="9"/>
      <c r="K11" s="9"/>
      <c r="L11" s="9"/>
      <c r="M11" s="9"/>
      <c r="N11" s="9"/>
      <c r="O11" s="9"/>
      <c r="P11" s="9"/>
      <c r="Q11" s="9"/>
      <c r="R11" s="9"/>
      <c r="S11" s="9"/>
    </row>
    <row r="12" spans="1:25" ht="30" x14ac:dyDescent="0.7">
      <c r="A12" s="11">
        <f>AVERAGE(GoldData[Close_Price])</f>
        <v>132.108</v>
      </c>
      <c r="B12" s="11"/>
      <c r="C12" s="11"/>
      <c r="D12" s="11"/>
      <c r="F12" s="11">
        <f>MAX(GoldData[High])</f>
        <v>194</v>
      </c>
      <c r="G12" s="11"/>
      <c r="H12" s="11"/>
      <c r="I12" s="11"/>
      <c r="J12" s="11"/>
      <c r="K12" s="11">
        <f>MIN(GoldData[Low])</f>
        <v>107</v>
      </c>
      <c r="L12" s="11"/>
      <c r="M12" s="11"/>
      <c r="N12" s="11"/>
      <c r="O12" s="11"/>
      <c r="Q12" s="12">
        <f>SUM(GoldData[Volume])</f>
        <v>8984656800</v>
      </c>
    </row>
    <row r="63" spans="1:20" x14ac:dyDescent="0.3">
      <c r="A63" s="7"/>
      <c r="B63" s="7"/>
      <c r="C63" s="7"/>
      <c r="D63" s="7"/>
      <c r="E63" s="7"/>
      <c r="F63" s="7"/>
      <c r="G63" s="7"/>
      <c r="H63" s="7"/>
      <c r="I63" s="7"/>
      <c r="J63" s="7"/>
      <c r="K63" s="7"/>
      <c r="L63" s="7"/>
      <c r="M63" s="7"/>
      <c r="N63" s="7"/>
      <c r="O63" s="7"/>
      <c r="P63" s="7"/>
      <c r="Q63" s="7"/>
      <c r="R63" s="7"/>
      <c r="S63" s="7"/>
      <c r="T63" s="7"/>
    </row>
    <row r="64" spans="1:20" x14ac:dyDescent="0.3">
      <c r="A64" s="7"/>
      <c r="B64" s="7"/>
      <c r="C64" s="7"/>
      <c r="D64" s="7"/>
      <c r="E64" s="7"/>
      <c r="F64" s="7"/>
      <c r="G64" s="7"/>
      <c r="H64" s="7"/>
      <c r="I64" s="7"/>
      <c r="J64" s="7"/>
      <c r="K64" s="7"/>
      <c r="L64" s="7"/>
      <c r="M64" s="7"/>
      <c r="N64" s="7"/>
      <c r="O64" s="7"/>
      <c r="P64" s="7"/>
      <c r="Q64" s="7"/>
      <c r="R64" s="7"/>
      <c r="S64" s="7"/>
      <c r="T64" s="7"/>
    </row>
    <row r="65" spans="1:20" x14ac:dyDescent="0.3">
      <c r="A65" s="7"/>
      <c r="B65" s="7"/>
      <c r="C65" s="7"/>
      <c r="D65" s="7"/>
      <c r="E65" s="7"/>
      <c r="F65" s="7"/>
      <c r="G65" s="7"/>
      <c r="H65" s="7"/>
      <c r="I65" s="7"/>
      <c r="J65" s="7"/>
      <c r="K65" s="7"/>
      <c r="L65" s="7"/>
      <c r="M65" s="7"/>
      <c r="N65" s="7"/>
      <c r="O65" s="7"/>
      <c r="P65" s="7"/>
      <c r="Q65" s="7"/>
      <c r="R65" s="7"/>
      <c r="S65" s="7"/>
      <c r="T65" s="7"/>
    </row>
    <row r="66" spans="1:20" x14ac:dyDescent="0.3">
      <c r="A66" s="7"/>
      <c r="B66" s="7"/>
      <c r="C66" s="7"/>
      <c r="D66" s="7"/>
      <c r="E66" s="7"/>
      <c r="F66" s="7"/>
      <c r="G66" s="7"/>
      <c r="H66" s="7"/>
      <c r="I66" s="7"/>
      <c r="J66" s="7"/>
      <c r="K66" s="7"/>
      <c r="L66" s="7"/>
      <c r="M66" s="7"/>
      <c r="N66" s="7"/>
      <c r="O66" s="7"/>
      <c r="P66" s="7"/>
      <c r="Q66" s="7"/>
      <c r="R66" s="7"/>
      <c r="S66" s="7"/>
      <c r="T66" s="7"/>
    </row>
    <row r="67" spans="1:20" x14ac:dyDescent="0.3">
      <c r="A67" s="7"/>
      <c r="B67" s="7"/>
      <c r="C67" s="7"/>
      <c r="D67" s="7"/>
      <c r="E67" s="7"/>
      <c r="F67" s="7"/>
      <c r="G67" s="7"/>
      <c r="H67" s="7"/>
      <c r="I67" s="7"/>
      <c r="J67" s="7"/>
      <c r="K67" s="7"/>
      <c r="L67" s="7"/>
      <c r="M67" s="7"/>
      <c r="N67" s="7"/>
      <c r="O67" s="7"/>
      <c r="P67" s="7"/>
      <c r="Q67" s="7"/>
      <c r="R67" s="7"/>
      <c r="S67" s="7"/>
      <c r="T67" s="7"/>
    </row>
    <row r="68" spans="1:20" ht="14.4" customHeight="1" x14ac:dyDescent="0.3">
      <c r="E68" s="13" t="s">
        <v>31</v>
      </c>
      <c r="F68" s="13"/>
      <c r="G68" s="13"/>
      <c r="H68" s="13"/>
      <c r="I68" s="13"/>
      <c r="J68" s="13"/>
      <c r="K68" s="13"/>
      <c r="L68" s="13"/>
      <c r="M68" s="13"/>
      <c r="N68" s="13"/>
      <c r="O68" s="13"/>
      <c r="P68" s="13"/>
      <c r="Q68" s="13"/>
      <c r="R68" s="13"/>
      <c r="S68" s="13"/>
    </row>
    <row r="69" spans="1:20" x14ac:dyDescent="0.3">
      <c r="E69" s="13"/>
      <c r="F69" s="13"/>
      <c r="G69" s="13"/>
      <c r="H69" s="13"/>
      <c r="I69" s="13"/>
      <c r="J69" s="13"/>
      <c r="K69" s="13"/>
      <c r="L69" s="13"/>
      <c r="M69" s="13"/>
      <c r="N69" s="13"/>
      <c r="O69" s="13"/>
      <c r="P69" s="13"/>
      <c r="Q69" s="13"/>
      <c r="R69" s="13"/>
      <c r="S69" s="13"/>
    </row>
    <row r="70" spans="1:20" x14ac:dyDescent="0.3">
      <c r="E70" s="13"/>
      <c r="F70" s="13"/>
      <c r="G70" s="13"/>
      <c r="H70" s="13"/>
      <c r="I70" s="13"/>
      <c r="J70" s="13"/>
      <c r="K70" s="13"/>
      <c r="L70" s="13"/>
      <c r="M70" s="13"/>
      <c r="N70" s="13"/>
      <c r="O70" s="13"/>
      <c r="P70" s="13"/>
      <c r="Q70" s="13"/>
      <c r="R70" s="13"/>
      <c r="S70" s="13"/>
    </row>
    <row r="71" spans="1:20" x14ac:dyDescent="0.3">
      <c r="E71" s="13"/>
      <c r="F71" s="13"/>
      <c r="G71" s="13"/>
      <c r="H71" s="13"/>
      <c r="I71" s="13"/>
      <c r="J71" s="13"/>
      <c r="K71" s="13"/>
      <c r="L71" s="13"/>
      <c r="M71" s="13"/>
      <c r="N71" s="13"/>
      <c r="O71" s="13"/>
      <c r="P71" s="13"/>
      <c r="Q71" s="13"/>
      <c r="R71" s="13"/>
      <c r="S71" s="13"/>
    </row>
    <row r="72" spans="1:20" x14ac:dyDescent="0.3">
      <c r="E72" s="13"/>
      <c r="F72" s="13"/>
      <c r="G72" s="13"/>
      <c r="H72" s="13"/>
      <c r="I72" s="13"/>
      <c r="J72" s="13"/>
      <c r="K72" s="13"/>
      <c r="L72" s="13"/>
      <c r="M72" s="13"/>
      <c r="N72" s="13"/>
      <c r="O72" s="13"/>
      <c r="P72" s="13"/>
      <c r="Q72" s="13"/>
      <c r="R72" s="13"/>
      <c r="S72" s="13"/>
    </row>
    <row r="73" spans="1:20" x14ac:dyDescent="0.3">
      <c r="E73" s="13"/>
      <c r="F73" s="13"/>
      <c r="G73" s="13"/>
      <c r="H73" s="13"/>
      <c r="I73" s="13"/>
      <c r="J73" s="13"/>
      <c r="K73" s="13"/>
      <c r="L73" s="13"/>
      <c r="M73" s="13"/>
      <c r="N73" s="13"/>
      <c r="O73" s="13"/>
      <c r="P73" s="13"/>
      <c r="Q73" s="13"/>
      <c r="R73" s="13"/>
      <c r="S73" s="13"/>
    </row>
    <row r="74" spans="1:20" x14ac:dyDescent="0.3">
      <c r="E74" s="13"/>
      <c r="F74" s="13"/>
      <c r="G74" s="13"/>
      <c r="H74" s="13"/>
      <c r="I74" s="13"/>
      <c r="J74" s="13"/>
      <c r="K74" s="13"/>
      <c r="L74" s="13"/>
      <c r="M74" s="13"/>
      <c r="N74" s="13"/>
      <c r="O74" s="13"/>
      <c r="P74" s="13"/>
      <c r="Q74" s="13"/>
      <c r="R74" s="13"/>
      <c r="S74" s="13"/>
    </row>
    <row r="75" spans="1:20" x14ac:dyDescent="0.3">
      <c r="E75" s="13"/>
      <c r="F75" s="13"/>
      <c r="G75" s="13"/>
      <c r="H75" s="13"/>
      <c r="I75" s="13"/>
      <c r="J75" s="13"/>
      <c r="K75" s="13"/>
      <c r="L75" s="13"/>
      <c r="M75" s="13"/>
      <c r="N75" s="13"/>
      <c r="O75" s="13"/>
      <c r="P75" s="13"/>
      <c r="Q75" s="13"/>
      <c r="R75" s="13"/>
      <c r="S75" s="13"/>
    </row>
    <row r="76" spans="1:20" x14ac:dyDescent="0.3">
      <c r="E76" s="13"/>
      <c r="F76" s="13"/>
      <c r="G76" s="13"/>
      <c r="H76" s="13"/>
      <c r="I76" s="13"/>
      <c r="J76" s="13"/>
      <c r="K76" s="13"/>
      <c r="L76" s="13"/>
      <c r="M76" s="13"/>
      <c r="N76" s="13"/>
      <c r="O76" s="13"/>
      <c r="P76" s="13"/>
      <c r="Q76" s="13"/>
      <c r="R76" s="13"/>
      <c r="S76" s="13"/>
    </row>
    <row r="77" spans="1:20" x14ac:dyDescent="0.3">
      <c r="E77" s="13"/>
      <c r="F77" s="13"/>
      <c r="G77" s="13"/>
      <c r="H77" s="13"/>
      <c r="I77" s="13"/>
      <c r="J77" s="13"/>
      <c r="K77" s="13"/>
      <c r="L77" s="13"/>
      <c r="M77" s="13"/>
      <c r="N77" s="13"/>
      <c r="O77" s="13"/>
      <c r="P77" s="13"/>
      <c r="Q77" s="13"/>
      <c r="R77" s="13"/>
      <c r="S77" s="13"/>
    </row>
    <row r="78" spans="1:20" x14ac:dyDescent="0.3">
      <c r="E78" s="13"/>
      <c r="F78" s="13"/>
      <c r="G78" s="13"/>
      <c r="H78" s="13"/>
      <c r="I78" s="13"/>
      <c r="J78" s="13"/>
      <c r="K78" s="13"/>
      <c r="L78" s="13"/>
      <c r="M78" s="13"/>
      <c r="N78" s="13"/>
      <c r="O78" s="13"/>
      <c r="P78" s="13"/>
      <c r="Q78" s="13"/>
      <c r="R78" s="13"/>
      <c r="S78" s="13"/>
    </row>
    <row r="79" spans="1:20" x14ac:dyDescent="0.3">
      <c r="E79" s="13"/>
      <c r="F79" s="13"/>
      <c r="G79" s="13"/>
      <c r="H79" s="13"/>
      <c r="I79" s="13"/>
      <c r="J79" s="13"/>
      <c r="K79" s="13"/>
      <c r="L79" s="13"/>
      <c r="M79" s="13"/>
      <c r="N79" s="13"/>
      <c r="O79" s="13"/>
      <c r="P79" s="13"/>
      <c r="Q79" s="13"/>
      <c r="R79" s="13"/>
      <c r="S79" s="13"/>
    </row>
    <row r="80" spans="1:20" x14ac:dyDescent="0.3">
      <c r="E80" s="13"/>
      <c r="F80" s="13"/>
      <c r="G80" s="13"/>
      <c r="H80" s="13"/>
      <c r="I80" s="13"/>
      <c r="J80" s="13"/>
      <c r="K80" s="13"/>
      <c r="L80" s="13"/>
      <c r="M80" s="13"/>
      <c r="N80" s="13"/>
      <c r="O80" s="13"/>
      <c r="P80" s="13"/>
      <c r="Q80" s="13"/>
      <c r="R80" s="13"/>
      <c r="S80" s="13"/>
    </row>
    <row r="81" spans="5:19" x14ac:dyDescent="0.3">
      <c r="E81" s="13"/>
      <c r="F81" s="13"/>
      <c r="G81" s="13"/>
      <c r="H81" s="13"/>
      <c r="I81" s="13"/>
      <c r="J81" s="13"/>
      <c r="K81" s="13"/>
      <c r="L81" s="13"/>
      <c r="M81" s="13"/>
      <c r="N81" s="13"/>
      <c r="O81" s="13"/>
      <c r="P81" s="13"/>
      <c r="Q81" s="13"/>
      <c r="R81" s="13"/>
      <c r="S81" s="13"/>
    </row>
    <row r="82" spans="5:19" x14ac:dyDescent="0.3">
      <c r="E82" s="13"/>
      <c r="F82" s="13"/>
      <c r="G82" s="13"/>
      <c r="H82" s="13"/>
      <c r="I82" s="13"/>
      <c r="J82" s="13"/>
      <c r="K82" s="13"/>
      <c r="L82" s="13"/>
      <c r="M82" s="13"/>
      <c r="N82" s="13"/>
      <c r="O82" s="13"/>
      <c r="P82" s="13"/>
      <c r="Q82" s="13"/>
      <c r="R82" s="13"/>
      <c r="S82" s="13"/>
    </row>
    <row r="83" spans="5:19" x14ac:dyDescent="0.3">
      <c r="E83" s="13"/>
      <c r="F83" s="13"/>
      <c r="G83" s="13"/>
      <c r="H83" s="13"/>
      <c r="I83" s="13"/>
      <c r="J83" s="13"/>
      <c r="K83" s="13"/>
      <c r="L83" s="13"/>
      <c r="M83" s="13"/>
      <c r="N83" s="13"/>
      <c r="O83" s="13"/>
      <c r="P83" s="13"/>
      <c r="Q83" s="13"/>
      <c r="R83" s="13"/>
      <c r="S83" s="13"/>
    </row>
    <row r="84" spans="5:19" x14ac:dyDescent="0.3">
      <c r="E84" s="13"/>
      <c r="F84" s="13"/>
      <c r="G84" s="13"/>
      <c r="H84" s="13"/>
      <c r="I84" s="13"/>
      <c r="J84" s="13"/>
      <c r="K84" s="13"/>
      <c r="L84" s="13"/>
      <c r="M84" s="13"/>
      <c r="N84" s="13"/>
      <c r="O84" s="13"/>
      <c r="P84" s="13"/>
      <c r="Q84" s="13"/>
      <c r="R84" s="13"/>
      <c r="S84" s="13"/>
    </row>
    <row r="85" spans="5:19" x14ac:dyDescent="0.3">
      <c r="E85" s="13"/>
      <c r="F85" s="13"/>
      <c r="G85" s="13"/>
      <c r="H85" s="13"/>
      <c r="I85" s="13"/>
      <c r="J85" s="13"/>
      <c r="K85" s="13"/>
      <c r="L85" s="13"/>
      <c r="M85" s="13"/>
      <c r="N85" s="13"/>
      <c r="O85" s="13"/>
      <c r="P85" s="13"/>
      <c r="Q85" s="13"/>
      <c r="R85" s="13"/>
      <c r="S85" s="13"/>
    </row>
    <row r="86" spans="5:19" x14ac:dyDescent="0.3">
      <c r="E86" s="13"/>
      <c r="F86" s="13"/>
      <c r="G86" s="13"/>
      <c r="H86" s="13"/>
      <c r="I86" s="13"/>
      <c r="J86" s="13"/>
      <c r="K86" s="13"/>
      <c r="L86" s="13"/>
      <c r="M86" s="13"/>
      <c r="N86" s="13"/>
      <c r="O86" s="13"/>
      <c r="P86" s="13"/>
      <c r="Q86" s="13"/>
      <c r="R86" s="13"/>
      <c r="S86" s="13"/>
    </row>
    <row r="87" spans="5:19" x14ac:dyDescent="0.3">
      <c r="E87" s="13"/>
      <c r="F87" s="13"/>
      <c r="G87" s="13"/>
      <c r="H87" s="13"/>
      <c r="I87" s="13"/>
      <c r="J87" s="13"/>
      <c r="K87" s="13"/>
      <c r="L87" s="13"/>
      <c r="M87" s="13"/>
      <c r="N87" s="13"/>
      <c r="O87" s="13"/>
      <c r="P87" s="13"/>
      <c r="Q87" s="13"/>
      <c r="R87" s="13"/>
      <c r="S87" s="13"/>
    </row>
    <row r="88" spans="5:19" x14ac:dyDescent="0.3">
      <c r="E88" s="13"/>
      <c r="F88" s="13"/>
      <c r="G88" s="13"/>
      <c r="H88" s="13"/>
      <c r="I88" s="13"/>
      <c r="J88" s="13"/>
      <c r="K88" s="13"/>
      <c r="L88" s="13"/>
      <c r="M88" s="13"/>
      <c r="N88" s="13"/>
      <c r="O88" s="13"/>
      <c r="P88" s="13"/>
      <c r="Q88" s="13"/>
      <c r="R88" s="13"/>
      <c r="S88" s="13"/>
    </row>
    <row r="89" spans="5:19" x14ac:dyDescent="0.3">
      <c r="E89" s="13"/>
      <c r="F89" s="13"/>
      <c r="G89" s="13"/>
      <c r="H89" s="13"/>
      <c r="I89" s="13"/>
      <c r="J89" s="13"/>
      <c r="K89" s="13"/>
      <c r="L89" s="13"/>
      <c r="M89" s="13"/>
      <c r="N89" s="13"/>
      <c r="O89" s="13"/>
      <c r="P89" s="13"/>
      <c r="Q89" s="13"/>
      <c r="R89" s="13"/>
      <c r="S89" s="13"/>
    </row>
    <row r="90" spans="5:19" x14ac:dyDescent="0.3">
      <c r="E90" s="13"/>
      <c r="F90" s="13"/>
      <c r="G90" s="13"/>
      <c r="H90" s="13"/>
      <c r="I90" s="13"/>
      <c r="J90" s="13"/>
      <c r="K90" s="13"/>
      <c r="L90" s="13"/>
      <c r="M90" s="13"/>
      <c r="N90" s="13"/>
      <c r="O90" s="13"/>
      <c r="P90" s="13"/>
      <c r="Q90" s="13"/>
      <c r="R90" s="13"/>
      <c r="S90" s="13"/>
    </row>
    <row r="91" spans="5:19" x14ac:dyDescent="0.3">
      <c r="E91" s="13"/>
      <c r="F91" s="13"/>
      <c r="G91" s="13"/>
      <c r="H91" s="13"/>
      <c r="I91" s="13"/>
      <c r="J91" s="13"/>
      <c r="K91" s="13"/>
      <c r="L91" s="13"/>
      <c r="M91" s="13"/>
      <c r="N91" s="13"/>
      <c r="O91" s="13"/>
      <c r="P91" s="13"/>
      <c r="Q91" s="13"/>
      <c r="R91" s="13"/>
      <c r="S91" s="13"/>
    </row>
    <row r="92" spans="5:19" x14ac:dyDescent="0.3">
      <c r="E92" s="13"/>
      <c r="F92" s="13"/>
      <c r="G92" s="13"/>
      <c r="H92" s="13"/>
      <c r="I92" s="13"/>
      <c r="J92" s="13"/>
      <c r="K92" s="13"/>
      <c r="L92" s="13"/>
      <c r="M92" s="13"/>
      <c r="N92" s="13"/>
      <c r="O92" s="13"/>
      <c r="P92" s="13"/>
      <c r="Q92" s="13"/>
      <c r="R92" s="13"/>
      <c r="S92" s="13"/>
    </row>
    <row r="93" spans="5:19" x14ac:dyDescent="0.3">
      <c r="E93" s="13"/>
      <c r="F93" s="13"/>
      <c r="G93" s="13"/>
      <c r="H93" s="13"/>
      <c r="I93" s="13"/>
      <c r="J93" s="13"/>
      <c r="K93" s="13"/>
      <c r="L93" s="13"/>
      <c r="M93" s="13"/>
      <c r="N93" s="13"/>
      <c r="O93" s="13"/>
      <c r="P93" s="13"/>
      <c r="Q93" s="13"/>
      <c r="R93" s="13"/>
      <c r="S93" s="13"/>
    </row>
    <row r="98" spans="4:20" x14ac:dyDescent="0.3">
      <c r="D98" s="14"/>
      <c r="E98" s="14"/>
      <c r="F98" s="14"/>
      <c r="G98" s="14"/>
      <c r="H98" s="14"/>
      <c r="I98" s="14"/>
      <c r="J98" s="14"/>
      <c r="K98" s="14"/>
      <c r="L98" s="14"/>
      <c r="M98" s="14"/>
      <c r="N98" s="14"/>
      <c r="O98" s="14"/>
      <c r="P98" s="14"/>
      <c r="Q98" s="14"/>
      <c r="R98" s="14"/>
      <c r="S98" s="14"/>
      <c r="T98" s="14"/>
    </row>
    <row r="99" spans="4:20" x14ac:dyDescent="0.3">
      <c r="D99" s="14"/>
      <c r="E99" s="14"/>
      <c r="F99" s="14"/>
      <c r="G99" s="14"/>
      <c r="H99" s="14"/>
      <c r="I99" s="14"/>
      <c r="J99" s="14"/>
      <c r="K99" s="14"/>
      <c r="L99" s="14"/>
      <c r="M99" s="14"/>
      <c r="N99" s="14"/>
      <c r="O99" s="14"/>
      <c r="P99" s="14"/>
      <c r="Q99" s="14"/>
      <c r="R99" s="14"/>
      <c r="S99" s="14"/>
      <c r="T99" s="14"/>
    </row>
    <row r="100" spans="4:20" x14ac:dyDescent="0.3">
      <c r="D100" s="14"/>
      <c r="E100" s="14"/>
      <c r="F100" s="14"/>
      <c r="G100" s="14"/>
      <c r="H100" s="14"/>
      <c r="I100" s="14"/>
      <c r="J100" s="14"/>
      <c r="K100" s="14"/>
      <c r="L100" s="14"/>
      <c r="M100" s="14"/>
      <c r="N100" s="14"/>
      <c r="O100" s="14"/>
      <c r="P100" s="14"/>
      <c r="Q100" s="14"/>
      <c r="R100" s="14"/>
      <c r="S100" s="14"/>
      <c r="T100" s="14"/>
    </row>
    <row r="101" spans="4:20" x14ac:dyDescent="0.3">
      <c r="D101" s="14"/>
      <c r="E101" s="14"/>
      <c r="F101" s="14"/>
      <c r="G101" s="14"/>
      <c r="H101" s="14"/>
      <c r="I101" s="14"/>
      <c r="J101" s="14"/>
      <c r="K101" s="14"/>
      <c r="L101" s="14"/>
      <c r="M101" s="14"/>
      <c r="N101" s="14"/>
      <c r="O101" s="14"/>
      <c r="P101" s="14"/>
      <c r="Q101" s="14"/>
      <c r="R101" s="14"/>
      <c r="S101" s="14"/>
      <c r="T101" s="14"/>
    </row>
    <row r="114" spans="18:18" x14ac:dyDescent="0.3">
      <c r="R114" s="15" t="s">
        <v>30</v>
      </c>
    </row>
  </sheetData>
  <sheetProtection sheet="1" objects="1" scenarios="1" selectLockedCells="1" selectUnlockedCells="1"/>
  <mergeCells count="10">
    <mergeCell ref="P10:S11"/>
    <mergeCell ref="A63:T67"/>
    <mergeCell ref="E68:S93"/>
    <mergeCell ref="A1:Y8"/>
    <mergeCell ref="A12:D12"/>
    <mergeCell ref="A9:E11"/>
    <mergeCell ref="F9:J11"/>
    <mergeCell ref="F12:J12"/>
    <mergeCell ref="K10:O11"/>
    <mergeCell ref="K12:O12"/>
  </mergeCells>
  <hyperlinks>
    <hyperlink ref="R114" r:id="rId1" xr:uid="{7CF01CF6-EB0F-454B-8769-0FB0716B01D6}"/>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3960-CED2-46E9-A1D5-44D05E8FEBEA}">
  <dimension ref="A3:N16"/>
  <sheetViews>
    <sheetView workbookViewId="0">
      <selection activeCell="R17" sqref="R17"/>
    </sheetView>
  </sheetViews>
  <sheetFormatPr defaultRowHeight="14.4" x14ac:dyDescent="0.3"/>
  <cols>
    <col min="1" max="1" width="12.77734375" bestFit="1" customWidth="1"/>
    <col min="2" max="2" width="24.5546875" bestFit="1" customWidth="1"/>
    <col min="5" max="5" width="12.77734375" bestFit="1" customWidth="1"/>
    <col min="6" max="6" width="13.88671875" bestFit="1" customWidth="1"/>
    <col min="9" max="9" width="22.109375" bestFit="1" customWidth="1"/>
    <col min="10" max="10" width="23.88671875" bestFit="1" customWidth="1"/>
    <col min="13" max="13" width="12.77734375" bestFit="1" customWidth="1"/>
    <col min="14" max="14" width="14.44140625" bestFit="1" customWidth="1"/>
  </cols>
  <sheetData>
    <row r="3" spans="1:14" x14ac:dyDescent="0.3">
      <c r="A3" s="5" t="s">
        <v>20</v>
      </c>
      <c r="B3" t="s">
        <v>22</v>
      </c>
      <c r="E3" s="5" t="s">
        <v>20</v>
      </c>
      <c r="F3" t="s">
        <v>23</v>
      </c>
      <c r="I3" s="5" t="s">
        <v>20</v>
      </c>
      <c r="J3" t="s">
        <v>24</v>
      </c>
      <c r="M3" s="5" t="s">
        <v>20</v>
      </c>
      <c r="N3" t="s">
        <v>25</v>
      </c>
    </row>
    <row r="4" spans="1:14" x14ac:dyDescent="0.3">
      <c r="A4" s="6">
        <v>2016</v>
      </c>
      <c r="B4" s="3">
        <v>112</v>
      </c>
      <c r="E4" s="6">
        <v>1</v>
      </c>
      <c r="F4" s="3">
        <v>127.50602409638554</v>
      </c>
      <c r="I4" s="6" t="s">
        <v>18</v>
      </c>
      <c r="J4" s="2">
        <v>3</v>
      </c>
      <c r="M4" s="6">
        <v>2016</v>
      </c>
      <c r="N4" s="2">
        <v>1</v>
      </c>
    </row>
    <row r="5" spans="1:14" x14ac:dyDescent="0.3">
      <c r="A5" s="6">
        <v>2017</v>
      </c>
      <c r="B5" s="3">
        <v>119.72509960159363</v>
      </c>
      <c r="E5" s="6">
        <v>2</v>
      </c>
      <c r="F5" s="3">
        <v>129.61842105263159</v>
      </c>
      <c r="I5" s="6" t="s">
        <v>19</v>
      </c>
      <c r="J5" s="2">
        <v>3</v>
      </c>
      <c r="M5" s="6">
        <v>2017</v>
      </c>
      <c r="N5" s="2">
        <v>0.94023904382470125</v>
      </c>
    </row>
    <row r="6" spans="1:14" x14ac:dyDescent="0.3">
      <c r="A6" s="6">
        <v>2018</v>
      </c>
      <c r="B6" s="3">
        <v>120.19123505976096</v>
      </c>
      <c r="E6" s="6">
        <v>3</v>
      </c>
      <c r="F6" s="3">
        <v>128.90804597701148</v>
      </c>
      <c r="I6" s="6" t="s">
        <v>17</v>
      </c>
      <c r="J6" s="2">
        <v>994</v>
      </c>
      <c r="M6" s="6">
        <v>2018</v>
      </c>
      <c r="N6" s="2">
        <v>0.76095617529880477</v>
      </c>
    </row>
    <row r="7" spans="1:14" x14ac:dyDescent="0.3">
      <c r="A7" s="6">
        <v>2019</v>
      </c>
      <c r="B7" s="3">
        <v>131.53968253968253</v>
      </c>
      <c r="E7" s="6">
        <v>4</v>
      </c>
      <c r="F7" s="3">
        <v>132.2560975609756</v>
      </c>
      <c r="I7" s="6" t="s">
        <v>21</v>
      </c>
      <c r="J7" s="2">
        <v>1000</v>
      </c>
      <c r="M7" s="6">
        <v>2019</v>
      </c>
      <c r="N7" s="2">
        <v>0.84523809523809523</v>
      </c>
    </row>
    <row r="8" spans="1:14" x14ac:dyDescent="0.3">
      <c r="A8" s="6">
        <v>2020</v>
      </c>
      <c r="B8" s="3">
        <v>165.02843601895734</v>
      </c>
      <c r="E8" s="6">
        <v>5</v>
      </c>
      <c r="F8" s="3">
        <v>130.5</v>
      </c>
      <c r="M8" s="6">
        <v>2020</v>
      </c>
      <c r="N8" s="2">
        <v>1.1848341232227488</v>
      </c>
    </row>
    <row r="9" spans="1:14" x14ac:dyDescent="0.3">
      <c r="A9" s="6" t="s">
        <v>21</v>
      </c>
      <c r="B9" s="3">
        <v>132.108</v>
      </c>
      <c r="E9" s="6">
        <v>6</v>
      </c>
      <c r="F9" s="3">
        <v>133.45882352941177</v>
      </c>
      <c r="M9" s="6" t="s">
        <v>21</v>
      </c>
      <c r="N9" s="2">
        <v>0.92500000000000004</v>
      </c>
    </row>
    <row r="10" spans="1:14" x14ac:dyDescent="0.3">
      <c r="E10" s="6">
        <v>7</v>
      </c>
      <c r="F10" s="3">
        <v>136.19999999999999</v>
      </c>
    </row>
    <row r="11" spans="1:14" x14ac:dyDescent="0.3">
      <c r="E11" s="6">
        <v>8</v>
      </c>
      <c r="F11" s="3">
        <v>139.6629213483146</v>
      </c>
    </row>
    <row r="12" spans="1:14" x14ac:dyDescent="0.3">
      <c r="E12" s="6">
        <v>9</v>
      </c>
      <c r="F12" s="3">
        <v>141.08750000000001</v>
      </c>
    </row>
    <row r="13" spans="1:14" x14ac:dyDescent="0.3">
      <c r="E13" s="6">
        <v>10</v>
      </c>
      <c r="F13" s="3">
        <v>138.77777777777777</v>
      </c>
    </row>
    <row r="14" spans="1:14" x14ac:dyDescent="0.3">
      <c r="E14" s="6">
        <v>11</v>
      </c>
      <c r="F14" s="3">
        <v>123.30263157894737</v>
      </c>
    </row>
    <row r="15" spans="1:14" x14ac:dyDescent="0.3">
      <c r="E15" s="6">
        <v>12</v>
      </c>
      <c r="F15" s="3">
        <v>122.12345679012346</v>
      </c>
    </row>
    <row r="16" spans="1:14" x14ac:dyDescent="0.3">
      <c r="E16" s="6" t="s">
        <v>21</v>
      </c>
      <c r="F16" s="3">
        <v>132.108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C211-F9AF-4339-BF78-DD20B455CA69}">
  <dimension ref="A1:Q1001"/>
  <sheetViews>
    <sheetView workbookViewId="0">
      <pane ySplit="1" topLeftCell="A2" activePane="bottomLeft" state="frozen"/>
      <selection pane="bottomLeft" activeCell="A2" sqref="A2:Q1001"/>
    </sheetView>
  </sheetViews>
  <sheetFormatPr defaultRowHeight="14.4" x14ac:dyDescent="0.3"/>
  <cols>
    <col min="1" max="1" width="10.5546875" bestFit="1" customWidth="1"/>
    <col min="2" max="2" width="13.21875" style="3" bestFit="1" customWidth="1"/>
    <col min="3" max="3" width="7.109375" style="3" bestFit="1" customWidth="1"/>
    <col min="4" max="4" width="6.6640625" style="3" bestFit="1" customWidth="1"/>
    <col min="5" max="5" width="13.21875" style="3" bestFit="1" customWidth="1"/>
    <col min="6" max="6" width="13.77734375" style="4" bestFit="1" customWidth="1"/>
    <col min="7" max="7" width="11.77734375" style="3" bestFit="1" customWidth="1"/>
    <col min="8" max="8" width="14.33203125" bestFit="1" customWidth="1"/>
    <col min="9" max="10" width="9.21875" bestFit="1" customWidth="1"/>
    <col min="11" max="11" width="10.21875" bestFit="1" customWidth="1"/>
    <col min="12" max="12" width="14" bestFit="1" customWidth="1"/>
    <col min="13" max="13" width="7.109375" bestFit="1" customWidth="1"/>
    <col min="14" max="14" width="9" bestFit="1" customWidth="1"/>
    <col min="15" max="15" width="15.44140625" bestFit="1" customWidth="1"/>
    <col min="16" max="16" width="9.88671875" bestFit="1" customWidth="1"/>
    <col min="17" max="17" width="22.109375" bestFit="1" customWidth="1"/>
  </cols>
  <sheetData>
    <row r="1" spans="1:17" x14ac:dyDescent="0.3">
      <c r="A1" t="s">
        <v>0</v>
      </c>
      <c r="B1" s="3" t="s">
        <v>1</v>
      </c>
      <c r="C1" s="3" t="s">
        <v>2</v>
      </c>
      <c r="D1" s="3" t="s">
        <v>3</v>
      </c>
      <c r="E1" s="3" t="s">
        <v>4</v>
      </c>
      <c r="F1" s="4" t="s">
        <v>5</v>
      </c>
      <c r="G1" s="3" t="s">
        <v>6</v>
      </c>
      <c r="H1" t="s">
        <v>7</v>
      </c>
      <c r="I1" t="s">
        <v>8</v>
      </c>
      <c r="J1" t="s">
        <v>9</v>
      </c>
      <c r="K1" t="s">
        <v>10</v>
      </c>
      <c r="L1" t="s">
        <v>11</v>
      </c>
      <c r="M1" t="s">
        <v>12</v>
      </c>
      <c r="N1" t="s">
        <v>13</v>
      </c>
      <c r="O1" t="s">
        <v>14</v>
      </c>
      <c r="P1" t="s">
        <v>15</v>
      </c>
      <c r="Q1" t="s">
        <v>16</v>
      </c>
    </row>
    <row r="2" spans="1:17" x14ac:dyDescent="0.3">
      <c r="A2" s="1">
        <v>42684</v>
      </c>
      <c r="B2" s="3">
        <v>120</v>
      </c>
      <c r="C2" s="3">
        <v>122</v>
      </c>
      <c r="D2" s="3">
        <v>119</v>
      </c>
      <c r="E2" s="3">
        <v>122</v>
      </c>
      <c r="F2" s="4">
        <v>22268000</v>
      </c>
      <c r="G2" s="3">
        <v>120</v>
      </c>
      <c r="H2">
        <v>-1</v>
      </c>
      <c r="I2">
        <v>121</v>
      </c>
      <c r="J2">
        <v>123</v>
      </c>
      <c r="K2">
        <v>122</v>
      </c>
      <c r="L2">
        <v>1</v>
      </c>
      <c r="M2">
        <v>2016</v>
      </c>
      <c r="N2">
        <v>11</v>
      </c>
      <c r="O2">
        <v>3</v>
      </c>
      <c r="P2">
        <v>4</v>
      </c>
      <c r="Q2" s="2" t="s">
        <v>17</v>
      </c>
    </row>
    <row r="3" spans="1:17" x14ac:dyDescent="0.3">
      <c r="A3" s="1">
        <v>42685</v>
      </c>
      <c r="B3" s="3">
        <v>117</v>
      </c>
      <c r="C3" s="3">
        <v>120</v>
      </c>
      <c r="D3" s="3">
        <v>116</v>
      </c>
      <c r="E3" s="3">
        <v>120</v>
      </c>
      <c r="F3" s="4">
        <v>20381800</v>
      </c>
      <c r="G3" s="3">
        <v>117</v>
      </c>
      <c r="H3">
        <v>-2</v>
      </c>
      <c r="I3">
        <v>121</v>
      </c>
      <c r="J3">
        <v>123</v>
      </c>
      <c r="K3">
        <v>122</v>
      </c>
      <c r="L3">
        <v>1</v>
      </c>
      <c r="M3">
        <v>2016</v>
      </c>
      <c r="N3">
        <v>11</v>
      </c>
      <c r="O3">
        <v>4</v>
      </c>
      <c r="P3">
        <v>4</v>
      </c>
      <c r="Q3" s="2" t="s">
        <v>17</v>
      </c>
    </row>
    <row r="4" spans="1:17" x14ac:dyDescent="0.3">
      <c r="A4" s="1">
        <v>42688</v>
      </c>
      <c r="B4" s="3">
        <v>116</v>
      </c>
      <c r="C4" s="3">
        <v>117</v>
      </c>
      <c r="D4" s="3">
        <v>115</v>
      </c>
      <c r="E4" s="3">
        <v>116</v>
      </c>
      <c r="F4" s="4">
        <v>20729400</v>
      </c>
      <c r="G4" s="3">
        <v>116</v>
      </c>
      <c r="H4">
        <v>-1</v>
      </c>
      <c r="I4">
        <v>121</v>
      </c>
      <c r="J4">
        <v>123</v>
      </c>
      <c r="K4">
        <v>122</v>
      </c>
      <c r="L4">
        <v>1</v>
      </c>
      <c r="M4">
        <v>2016</v>
      </c>
      <c r="N4">
        <v>11</v>
      </c>
      <c r="O4">
        <v>0</v>
      </c>
      <c r="P4">
        <v>4</v>
      </c>
      <c r="Q4" s="2" t="s">
        <v>17</v>
      </c>
    </row>
    <row r="5" spans="1:17" x14ac:dyDescent="0.3">
      <c r="A5" s="1">
        <v>42689</v>
      </c>
      <c r="B5" s="3">
        <v>117</v>
      </c>
      <c r="C5" s="3">
        <v>117</v>
      </c>
      <c r="D5" s="3">
        <v>116</v>
      </c>
      <c r="E5" s="3">
        <v>116</v>
      </c>
      <c r="F5" s="4">
        <v>9348600</v>
      </c>
      <c r="G5" s="3">
        <v>117</v>
      </c>
      <c r="H5">
        <v>1</v>
      </c>
      <c r="I5">
        <v>121</v>
      </c>
      <c r="J5">
        <v>123</v>
      </c>
      <c r="K5">
        <v>122</v>
      </c>
      <c r="L5">
        <v>1</v>
      </c>
      <c r="M5">
        <v>2016</v>
      </c>
      <c r="N5">
        <v>11</v>
      </c>
      <c r="O5">
        <v>1</v>
      </c>
      <c r="P5">
        <v>4</v>
      </c>
      <c r="Q5" s="2" t="s">
        <v>17</v>
      </c>
    </row>
    <row r="6" spans="1:17" x14ac:dyDescent="0.3">
      <c r="A6" s="1">
        <v>42690</v>
      </c>
      <c r="B6" s="3">
        <v>117</v>
      </c>
      <c r="C6" s="3">
        <v>117</v>
      </c>
      <c r="D6" s="3">
        <v>117</v>
      </c>
      <c r="E6" s="3">
        <v>117</v>
      </c>
      <c r="F6" s="4">
        <v>5486100</v>
      </c>
      <c r="G6" s="3">
        <v>117</v>
      </c>
      <c r="H6">
        <v>0</v>
      </c>
      <c r="I6">
        <v>121</v>
      </c>
      <c r="J6">
        <v>123</v>
      </c>
      <c r="K6">
        <v>122</v>
      </c>
      <c r="L6">
        <v>1</v>
      </c>
      <c r="M6">
        <v>2016</v>
      </c>
      <c r="N6">
        <v>11</v>
      </c>
      <c r="O6">
        <v>2</v>
      </c>
      <c r="P6">
        <v>4</v>
      </c>
      <c r="Q6" s="2" t="s">
        <v>17</v>
      </c>
    </row>
    <row r="7" spans="1:17" x14ac:dyDescent="0.3">
      <c r="A7" s="1">
        <v>42691</v>
      </c>
      <c r="B7" s="3">
        <v>116</v>
      </c>
      <c r="C7" s="3">
        <v>117</v>
      </c>
      <c r="D7" s="3">
        <v>115</v>
      </c>
      <c r="E7" s="3">
        <v>117</v>
      </c>
      <c r="F7" s="4">
        <v>10342300</v>
      </c>
      <c r="G7" s="3">
        <v>116</v>
      </c>
      <c r="H7">
        <v>-1</v>
      </c>
      <c r="I7">
        <v>121</v>
      </c>
      <c r="J7">
        <v>122</v>
      </c>
      <c r="K7">
        <v>122</v>
      </c>
      <c r="L7">
        <v>1</v>
      </c>
      <c r="M7">
        <v>2016</v>
      </c>
      <c r="N7">
        <v>11</v>
      </c>
      <c r="O7">
        <v>3</v>
      </c>
      <c r="P7">
        <v>4</v>
      </c>
      <c r="Q7" s="2" t="s">
        <v>18</v>
      </c>
    </row>
    <row r="8" spans="1:17" x14ac:dyDescent="0.3">
      <c r="A8" s="1">
        <v>42692</v>
      </c>
      <c r="B8" s="3">
        <v>115</v>
      </c>
      <c r="C8" s="3">
        <v>116</v>
      </c>
      <c r="D8" s="3">
        <v>115</v>
      </c>
      <c r="E8" s="3">
        <v>116</v>
      </c>
      <c r="F8" s="4">
        <v>10444300</v>
      </c>
      <c r="G8" s="3">
        <v>115</v>
      </c>
      <c r="H8">
        <v>-1</v>
      </c>
      <c r="I8">
        <v>120</v>
      </c>
      <c r="J8">
        <v>122</v>
      </c>
      <c r="K8">
        <v>122</v>
      </c>
      <c r="L8">
        <v>1</v>
      </c>
      <c r="M8">
        <v>2016</v>
      </c>
      <c r="N8">
        <v>11</v>
      </c>
      <c r="O8">
        <v>4</v>
      </c>
      <c r="P8">
        <v>4</v>
      </c>
      <c r="Q8" s="2" t="s">
        <v>17</v>
      </c>
    </row>
    <row r="9" spans="1:17" x14ac:dyDescent="0.3">
      <c r="A9" s="1">
        <v>42695</v>
      </c>
      <c r="B9" s="3">
        <v>116</v>
      </c>
      <c r="C9" s="3">
        <v>116</v>
      </c>
      <c r="D9" s="3">
        <v>115</v>
      </c>
      <c r="E9" s="3">
        <v>116</v>
      </c>
      <c r="F9" s="4">
        <v>6654200</v>
      </c>
      <c r="G9" s="3">
        <v>116</v>
      </c>
      <c r="H9">
        <v>0</v>
      </c>
      <c r="I9">
        <v>120</v>
      </c>
      <c r="J9">
        <v>122</v>
      </c>
      <c r="K9">
        <v>122</v>
      </c>
      <c r="L9">
        <v>1</v>
      </c>
      <c r="M9">
        <v>2016</v>
      </c>
      <c r="N9">
        <v>11</v>
      </c>
      <c r="O9">
        <v>0</v>
      </c>
      <c r="P9">
        <v>4</v>
      </c>
      <c r="Q9" s="2" t="s">
        <v>17</v>
      </c>
    </row>
    <row r="10" spans="1:17" x14ac:dyDescent="0.3">
      <c r="A10" s="1">
        <v>42696</v>
      </c>
      <c r="B10" s="3">
        <v>116</v>
      </c>
      <c r="C10" s="3">
        <v>116</v>
      </c>
      <c r="D10" s="3">
        <v>115</v>
      </c>
      <c r="E10" s="3">
        <v>116</v>
      </c>
      <c r="F10" s="4">
        <v>6391900</v>
      </c>
      <c r="G10" s="3">
        <v>116</v>
      </c>
      <c r="H10">
        <v>0</v>
      </c>
      <c r="I10">
        <v>120</v>
      </c>
      <c r="J10">
        <v>122</v>
      </c>
      <c r="K10">
        <v>122</v>
      </c>
      <c r="L10">
        <v>1</v>
      </c>
      <c r="M10">
        <v>2016</v>
      </c>
      <c r="N10">
        <v>11</v>
      </c>
      <c r="O10">
        <v>1</v>
      </c>
      <c r="P10">
        <v>4</v>
      </c>
      <c r="Q10" s="2" t="s">
        <v>17</v>
      </c>
    </row>
    <row r="11" spans="1:17" x14ac:dyDescent="0.3">
      <c r="A11" s="1">
        <v>42697</v>
      </c>
      <c r="B11" s="3">
        <v>113</v>
      </c>
      <c r="C11" s="3">
        <v>114</v>
      </c>
      <c r="D11" s="3">
        <v>113</v>
      </c>
      <c r="E11" s="3">
        <v>114</v>
      </c>
      <c r="F11" s="4">
        <v>20982100</v>
      </c>
      <c r="G11" s="3">
        <v>113</v>
      </c>
      <c r="H11">
        <v>-2</v>
      </c>
      <c r="I11">
        <v>119</v>
      </c>
      <c r="J11">
        <v>121</v>
      </c>
      <c r="K11">
        <v>122</v>
      </c>
      <c r="L11">
        <v>1</v>
      </c>
      <c r="M11">
        <v>2016</v>
      </c>
      <c r="N11">
        <v>11</v>
      </c>
      <c r="O11">
        <v>2</v>
      </c>
      <c r="P11">
        <v>4</v>
      </c>
      <c r="Q11" s="2" t="s">
        <v>17</v>
      </c>
    </row>
    <row r="12" spans="1:17" x14ac:dyDescent="0.3">
      <c r="A12" s="1">
        <v>42699</v>
      </c>
      <c r="B12" s="3">
        <v>113</v>
      </c>
      <c r="C12" s="3">
        <v>114</v>
      </c>
      <c r="D12" s="3">
        <v>112</v>
      </c>
      <c r="E12" s="3">
        <v>113</v>
      </c>
      <c r="F12" s="4">
        <v>5345900</v>
      </c>
      <c r="G12" s="3">
        <v>113</v>
      </c>
      <c r="H12">
        <v>-1</v>
      </c>
      <c r="I12">
        <v>119</v>
      </c>
      <c r="J12">
        <v>121</v>
      </c>
      <c r="K12">
        <v>122</v>
      </c>
      <c r="L12">
        <v>1</v>
      </c>
      <c r="M12">
        <v>2016</v>
      </c>
      <c r="N12">
        <v>11</v>
      </c>
      <c r="O12">
        <v>4</v>
      </c>
      <c r="P12">
        <v>4</v>
      </c>
      <c r="Q12" s="2" t="s">
        <v>17</v>
      </c>
    </row>
    <row r="13" spans="1:17" x14ac:dyDescent="0.3">
      <c r="A13" s="1">
        <v>42702</v>
      </c>
      <c r="B13" s="3">
        <v>114</v>
      </c>
      <c r="C13" s="3">
        <v>114</v>
      </c>
      <c r="D13" s="3">
        <v>113</v>
      </c>
      <c r="E13" s="3">
        <v>113</v>
      </c>
      <c r="F13" s="4">
        <v>5655400</v>
      </c>
      <c r="G13" s="3">
        <v>114</v>
      </c>
      <c r="H13">
        <v>1</v>
      </c>
      <c r="I13">
        <v>119</v>
      </c>
      <c r="J13">
        <v>121</v>
      </c>
      <c r="K13">
        <v>122</v>
      </c>
      <c r="L13">
        <v>1</v>
      </c>
      <c r="M13">
        <v>2016</v>
      </c>
      <c r="N13">
        <v>11</v>
      </c>
      <c r="O13">
        <v>0</v>
      </c>
      <c r="P13">
        <v>4</v>
      </c>
      <c r="Q13" s="2" t="s">
        <v>17</v>
      </c>
    </row>
    <row r="14" spans="1:17" x14ac:dyDescent="0.3">
      <c r="A14" s="1">
        <v>42703</v>
      </c>
      <c r="B14" s="3">
        <v>113</v>
      </c>
      <c r="C14" s="3">
        <v>113</v>
      </c>
      <c r="D14" s="3">
        <v>113</v>
      </c>
      <c r="E14" s="3">
        <v>113</v>
      </c>
      <c r="F14" s="4">
        <v>7438600</v>
      </c>
      <c r="G14" s="3">
        <v>113</v>
      </c>
      <c r="H14">
        <v>0</v>
      </c>
      <c r="I14">
        <v>118</v>
      </c>
      <c r="J14">
        <v>121</v>
      </c>
      <c r="K14">
        <v>122</v>
      </c>
      <c r="L14">
        <v>1</v>
      </c>
      <c r="M14">
        <v>2016</v>
      </c>
      <c r="N14">
        <v>11</v>
      </c>
      <c r="O14">
        <v>1</v>
      </c>
      <c r="P14">
        <v>4</v>
      </c>
      <c r="Q14" s="2" t="s">
        <v>17</v>
      </c>
    </row>
    <row r="15" spans="1:17" x14ac:dyDescent="0.3">
      <c r="A15" s="1">
        <v>42704</v>
      </c>
      <c r="B15" s="3">
        <v>112</v>
      </c>
      <c r="C15" s="3">
        <v>113</v>
      </c>
      <c r="D15" s="3">
        <v>112</v>
      </c>
      <c r="E15" s="3">
        <v>113</v>
      </c>
      <c r="F15" s="4">
        <v>10925500</v>
      </c>
      <c r="G15" s="3">
        <v>112</v>
      </c>
      <c r="H15">
        <v>-1</v>
      </c>
      <c r="I15">
        <v>118</v>
      </c>
      <c r="J15">
        <v>120</v>
      </c>
      <c r="K15">
        <v>122</v>
      </c>
      <c r="L15">
        <v>1</v>
      </c>
      <c r="M15">
        <v>2016</v>
      </c>
      <c r="N15">
        <v>11</v>
      </c>
      <c r="O15">
        <v>2</v>
      </c>
      <c r="P15">
        <v>4</v>
      </c>
      <c r="Q15" s="2" t="s">
        <v>17</v>
      </c>
    </row>
    <row r="16" spans="1:17" x14ac:dyDescent="0.3">
      <c r="A16" s="1">
        <v>42705</v>
      </c>
      <c r="B16" s="3">
        <v>112</v>
      </c>
      <c r="C16" s="3">
        <v>112</v>
      </c>
      <c r="D16" s="3">
        <v>111</v>
      </c>
      <c r="E16" s="3">
        <v>111</v>
      </c>
      <c r="F16" s="4">
        <v>10237000</v>
      </c>
      <c r="G16" s="3">
        <v>112</v>
      </c>
      <c r="H16">
        <v>0</v>
      </c>
      <c r="I16">
        <v>117</v>
      </c>
      <c r="J16">
        <v>120</v>
      </c>
      <c r="K16">
        <v>122</v>
      </c>
      <c r="L16">
        <v>1</v>
      </c>
      <c r="M16">
        <v>2016</v>
      </c>
      <c r="N16">
        <v>12</v>
      </c>
      <c r="O16">
        <v>3</v>
      </c>
      <c r="P16">
        <v>4</v>
      </c>
      <c r="Q16" s="2" t="s">
        <v>17</v>
      </c>
    </row>
    <row r="17" spans="1:17" x14ac:dyDescent="0.3">
      <c r="A17" s="1">
        <v>42706</v>
      </c>
      <c r="B17" s="3">
        <v>112</v>
      </c>
      <c r="C17" s="3">
        <v>112</v>
      </c>
      <c r="D17" s="3">
        <v>112</v>
      </c>
      <c r="E17" s="3">
        <v>112</v>
      </c>
      <c r="F17" s="4">
        <v>7416500</v>
      </c>
      <c r="G17" s="3">
        <v>112</v>
      </c>
      <c r="H17">
        <v>1</v>
      </c>
      <c r="I17">
        <v>116</v>
      </c>
      <c r="J17">
        <v>120</v>
      </c>
      <c r="K17">
        <v>122</v>
      </c>
      <c r="L17">
        <v>1</v>
      </c>
      <c r="M17">
        <v>2016</v>
      </c>
      <c r="N17">
        <v>12</v>
      </c>
      <c r="O17">
        <v>4</v>
      </c>
      <c r="P17">
        <v>4</v>
      </c>
      <c r="Q17" s="2" t="s">
        <v>17</v>
      </c>
    </row>
    <row r="18" spans="1:17" x14ac:dyDescent="0.3">
      <c r="A18" s="1">
        <v>42709</v>
      </c>
      <c r="B18" s="3">
        <v>112</v>
      </c>
      <c r="C18" s="3">
        <v>112</v>
      </c>
      <c r="D18" s="3">
        <v>110</v>
      </c>
      <c r="E18" s="3">
        <v>111</v>
      </c>
      <c r="F18" s="4">
        <v>10187900</v>
      </c>
      <c r="G18" s="3">
        <v>112</v>
      </c>
      <c r="H18">
        <v>-1</v>
      </c>
      <c r="I18">
        <v>116</v>
      </c>
      <c r="J18">
        <v>120</v>
      </c>
      <c r="K18">
        <v>122</v>
      </c>
      <c r="L18">
        <v>1</v>
      </c>
      <c r="M18">
        <v>2016</v>
      </c>
      <c r="N18">
        <v>12</v>
      </c>
      <c r="O18">
        <v>0</v>
      </c>
      <c r="P18">
        <v>4</v>
      </c>
      <c r="Q18" s="2" t="s">
        <v>17</v>
      </c>
    </row>
    <row r="19" spans="1:17" x14ac:dyDescent="0.3">
      <c r="A19" s="1">
        <v>42710</v>
      </c>
      <c r="B19" s="3">
        <v>111</v>
      </c>
      <c r="C19" s="3">
        <v>112</v>
      </c>
      <c r="D19" s="3">
        <v>111</v>
      </c>
      <c r="E19" s="3">
        <v>112</v>
      </c>
      <c r="F19" s="4">
        <v>5533700</v>
      </c>
      <c r="G19" s="3">
        <v>111</v>
      </c>
      <c r="H19">
        <v>0</v>
      </c>
      <c r="I19">
        <v>115</v>
      </c>
      <c r="J19">
        <v>119</v>
      </c>
      <c r="K19">
        <v>122</v>
      </c>
      <c r="L19">
        <v>1</v>
      </c>
      <c r="M19">
        <v>2016</v>
      </c>
      <c r="N19">
        <v>12</v>
      </c>
      <c r="O19">
        <v>1</v>
      </c>
      <c r="P19">
        <v>4</v>
      </c>
      <c r="Q19" s="2" t="s">
        <v>17</v>
      </c>
    </row>
    <row r="20" spans="1:17" x14ac:dyDescent="0.3">
      <c r="A20" s="1">
        <v>42711</v>
      </c>
      <c r="B20" s="3">
        <v>112</v>
      </c>
      <c r="C20" s="3">
        <v>113</v>
      </c>
      <c r="D20" s="3">
        <v>112</v>
      </c>
      <c r="E20" s="3">
        <v>112</v>
      </c>
      <c r="F20" s="4">
        <v>4901800</v>
      </c>
      <c r="G20" s="3">
        <v>112</v>
      </c>
      <c r="H20">
        <v>0</v>
      </c>
      <c r="I20">
        <v>115</v>
      </c>
      <c r="J20">
        <v>119</v>
      </c>
      <c r="K20">
        <v>122</v>
      </c>
      <c r="L20">
        <v>1</v>
      </c>
      <c r="M20">
        <v>2016</v>
      </c>
      <c r="N20">
        <v>12</v>
      </c>
      <c r="O20">
        <v>2</v>
      </c>
      <c r="P20">
        <v>4</v>
      </c>
      <c r="Q20" s="2" t="s">
        <v>17</v>
      </c>
    </row>
    <row r="21" spans="1:17" x14ac:dyDescent="0.3">
      <c r="A21" s="1">
        <v>42712</v>
      </c>
      <c r="B21" s="3">
        <v>112</v>
      </c>
      <c r="C21" s="3">
        <v>112</v>
      </c>
      <c r="D21" s="3">
        <v>111</v>
      </c>
      <c r="E21" s="3">
        <v>112</v>
      </c>
      <c r="F21" s="4">
        <v>5977800</v>
      </c>
      <c r="G21" s="3">
        <v>112</v>
      </c>
      <c r="H21">
        <v>0</v>
      </c>
      <c r="I21">
        <v>114</v>
      </c>
      <c r="J21">
        <v>119</v>
      </c>
      <c r="K21">
        <v>122</v>
      </c>
      <c r="L21">
        <v>1</v>
      </c>
      <c r="M21">
        <v>2016</v>
      </c>
      <c r="N21">
        <v>12</v>
      </c>
      <c r="O21">
        <v>3</v>
      </c>
      <c r="P21">
        <v>4</v>
      </c>
      <c r="Q21" s="2" t="s">
        <v>17</v>
      </c>
    </row>
    <row r="22" spans="1:17" x14ac:dyDescent="0.3">
      <c r="A22" s="1">
        <v>42713</v>
      </c>
      <c r="B22" s="3">
        <v>110</v>
      </c>
      <c r="C22" s="3">
        <v>111</v>
      </c>
      <c r="D22" s="3">
        <v>110</v>
      </c>
      <c r="E22" s="3">
        <v>111</v>
      </c>
      <c r="F22" s="4">
        <v>10507700</v>
      </c>
      <c r="G22" s="3">
        <v>110</v>
      </c>
      <c r="H22">
        <v>-1</v>
      </c>
      <c r="I22">
        <v>114</v>
      </c>
      <c r="J22">
        <v>118</v>
      </c>
      <c r="K22">
        <v>122</v>
      </c>
      <c r="L22">
        <v>1</v>
      </c>
      <c r="M22">
        <v>2016</v>
      </c>
      <c r="N22">
        <v>12</v>
      </c>
      <c r="O22">
        <v>4</v>
      </c>
      <c r="P22">
        <v>4</v>
      </c>
      <c r="Q22" s="2" t="s">
        <v>17</v>
      </c>
    </row>
    <row r="23" spans="1:17" x14ac:dyDescent="0.3">
      <c r="A23" s="1">
        <v>42716</v>
      </c>
      <c r="B23" s="3">
        <v>111</v>
      </c>
      <c r="C23" s="3">
        <v>111</v>
      </c>
      <c r="D23" s="3">
        <v>110</v>
      </c>
      <c r="E23" s="3">
        <v>111</v>
      </c>
      <c r="F23" s="4">
        <v>6156700</v>
      </c>
      <c r="G23" s="3">
        <v>111</v>
      </c>
      <c r="H23">
        <v>0</v>
      </c>
      <c r="I23">
        <v>113</v>
      </c>
      <c r="J23">
        <v>118</v>
      </c>
      <c r="K23">
        <v>122</v>
      </c>
      <c r="L23">
        <v>1</v>
      </c>
      <c r="M23">
        <v>2016</v>
      </c>
      <c r="N23">
        <v>12</v>
      </c>
      <c r="O23">
        <v>0</v>
      </c>
      <c r="P23">
        <v>4</v>
      </c>
      <c r="Q23" s="2" t="s">
        <v>17</v>
      </c>
    </row>
    <row r="24" spans="1:17" x14ac:dyDescent="0.3">
      <c r="A24" s="1">
        <v>42717</v>
      </c>
      <c r="B24" s="3">
        <v>110</v>
      </c>
      <c r="C24" s="3">
        <v>111</v>
      </c>
      <c r="D24" s="3">
        <v>110</v>
      </c>
      <c r="E24" s="3">
        <v>111</v>
      </c>
      <c r="F24" s="4">
        <v>7961600</v>
      </c>
      <c r="G24" s="3">
        <v>110</v>
      </c>
      <c r="H24">
        <v>0</v>
      </c>
      <c r="I24">
        <v>113</v>
      </c>
      <c r="J24">
        <v>118</v>
      </c>
      <c r="K24">
        <v>122</v>
      </c>
      <c r="L24">
        <v>1</v>
      </c>
      <c r="M24">
        <v>2016</v>
      </c>
      <c r="N24">
        <v>12</v>
      </c>
      <c r="O24">
        <v>1</v>
      </c>
      <c r="P24">
        <v>4</v>
      </c>
      <c r="Q24" s="2" t="s">
        <v>17</v>
      </c>
    </row>
    <row r="25" spans="1:17" x14ac:dyDescent="0.3">
      <c r="A25" s="1">
        <v>42718</v>
      </c>
      <c r="B25" s="3">
        <v>109</v>
      </c>
      <c r="C25" s="3">
        <v>111</v>
      </c>
      <c r="D25" s="3">
        <v>109</v>
      </c>
      <c r="E25" s="3">
        <v>111</v>
      </c>
      <c r="F25" s="4">
        <v>12933600</v>
      </c>
      <c r="G25" s="3">
        <v>109</v>
      </c>
      <c r="H25">
        <v>-1</v>
      </c>
      <c r="I25">
        <v>113</v>
      </c>
      <c r="J25">
        <v>117</v>
      </c>
      <c r="K25">
        <v>122</v>
      </c>
      <c r="L25">
        <v>1</v>
      </c>
      <c r="M25">
        <v>2016</v>
      </c>
      <c r="N25">
        <v>12</v>
      </c>
      <c r="O25">
        <v>2</v>
      </c>
      <c r="P25">
        <v>4</v>
      </c>
      <c r="Q25" s="2" t="s">
        <v>17</v>
      </c>
    </row>
    <row r="26" spans="1:17" x14ac:dyDescent="0.3">
      <c r="A26" s="1">
        <v>42719</v>
      </c>
      <c r="B26" s="3">
        <v>107</v>
      </c>
      <c r="C26" s="3">
        <v>108</v>
      </c>
      <c r="D26" s="3">
        <v>107</v>
      </c>
      <c r="E26" s="3">
        <v>108</v>
      </c>
      <c r="F26" s="4">
        <v>14427500</v>
      </c>
      <c r="G26" s="3">
        <v>107</v>
      </c>
      <c r="H26">
        <v>-1</v>
      </c>
      <c r="I26">
        <v>112</v>
      </c>
      <c r="J26">
        <v>117</v>
      </c>
      <c r="K26">
        <v>122</v>
      </c>
      <c r="L26">
        <v>1</v>
      </c>
      <c r="M26">
        <v>2016</v>
      </c>
      <c r="N26">
        <v>12</v>
      </c>
      <c r="O26">
        <v>3</v>
      </c>
      <c r="P26">
        <v>4</v>
      </c>
      <c r="Q26" s="2" t="s">
        <v>17</v>
      </c>
    </row>
    <row r="27" spans="1:17" x14ac:dyDescent="0.3">
      <c r="A27" s="1">
        <v>42720</v>
      </c>
      <c r="B27" s="3">
        <v>108</v>
      </c>
      <c r="C27" s="3">
        <v>109</v>
      </c>
      <c r="D27" s="3">
        <v>107</v>
      </c>
      <c r="E27" s="3">
        <v>108</v>
      </c>
      <c r="F27" s="4">
        <v>10602800</v>
      </c>
      <c r="G27" s="3">
        <v>108</v>
      </c>
      <c r="H27">
        <v>1</v>
      </c>
      <c r="I27">
        <v>112</v>
      </c>
      <c r="J27">
        <v>117</v>
      </c>
      <c r="K27">
        <v>122</v>
      </c>
      <c r="L27">
        <v>1</v>
      </c>
      <c r="M27">
        <v>2016</v>
      </c>
      <c r="N27">
        <v>12</v>
      </c>
      <c r="O27">
        <v>4</v>
      </c>
      <c r="P27">
        <v>4</v>
      </c>
      <c r="Q27" s="2" t="s">
        <v>17</v>
      </c>
    </row>
    <row r="28" spans="1:17" x14ac:dyDescent="0.3">
      <c r="A28" s="1">
        <v>42723</v>
      </c>
      <c r="B28" s="3">
        <v>109</v>
      </c>
      <c r="C28" s="3">
        <v>109</v>
      </c>
      <c r="D28" s="3">
        <v>108</v>
      </c>
      <c r="E28" s="3">
        <v>109</v>
      </c>
      <c r="F28" s="4">
        <v>5339100</v>
      </c>
      <c r="G28" s="3">
        <v>109</v>
      </c>
      <c r="H28">
        <v>0</v>
      </c>
      <c r="I28">
        <v>112</v>
      </c>
      <c r="J28">
        <v>117</v>
      </c>
      <c r="K28">
        <v>122</v>
      </c>
      <c r="L28">
        <v>1</v>
      </c>
      <c r="M28">
        <v>2016</v>
      </c>
      <c r="N28">
        <v>12</v>
      </c>
      <c r="O28">
        <v>0</v>
      </c>
      <c r="P28">
        <v>4</v>
      </c>
      <c r="Q28" s="2" t="s">
        <v>17</v>
      </c>
    </row>
    <row r="29" spans="1:17" x14ac:dyDescent="0.3">
      <c r="A29" s="1">
        <v>42724</v>
      </c>
      <c r="B29" s="3">
        <v>108</v>
      </c>
      <c r="C29" s="3">
        <v>108</v>
      </c>
      <c r="D29" s="3">
        <v>107</v>
      </c>
      <c r="E29" s="3">
        <v>107</v>
      </c>
      <c r="F29" s="4">
        <v>7321100</v>
      </c>
      <c r="G29" s="3">
        <v>108</v>
      </c>
      <c r="H29">
        <v>-1</v>
      </c>
      <c r="I29">
        <v>111</v>
      </c>
      <c r="J29">
        <v>117</v>
      </c>
      <c r="K29">
        <v>122</v>
      </c>
      <c r="L29">
        <v>1</v>
      </c>
      <c r="M29">
        <v>2016</v>
      </c>
      <c r="N29">
        <v>12</v>
      </c>
      <c r="O29">
        <v>1</v>
      </c>
      <c r="P29">
        <v>4</v>
      </c>
      <c r="Q29" s="2" t="s">
        <v>17</v>
      </c>
    </row>
    <row r="30" spans="1:17" x14ac:dyDescent="0.3">
      <c r="A30" s="1">
        <v>42725</v>
      </c>
      <c r="B30" s="3">
        <v>108</v>
      </c>
      <c r="C30" s="3">
        <v>108</v>
      </c>
      <c r="D30" s="3">
        <v>108</v>
      </c>
      <c r="E30" s="3">
        <v>108</v>
      </c>
      <c r="F30" s="4">
        <v>5188700</v>
      </c>
      <c r="G30" s="3">
        <v>108</v>
      </c>
      <c r="H30">
        <v>0</v>
      </c>
      <c r="I30">
        <v>111</v>
      </c>
      <c r="J30">
        <v>116</v>
      </c>
      <c r="K30">
        <v>121</v>
      </c>
      <c r="L30">
        <v>1</v>
      </c>
      <c r="M30">
        <v>2016</v>
      </c>
      <c r="N30">
        <v>12</v>
      </c>
      <c r="O30">
        <v>2</v>
      </c>
      <c r="P30">
        <v>4</v>
      </c>
      <c r="Q30" s="2" t="s">
        <v>17</v>
      </c>
    </row>
    <row r="31" spans="1:17" x14ac:dyDescent="0.3">
      <c r="A31" s="1">
        <v>42726</v>
      </c>
      <c r="B31" s="3">
        <v>108</v>
      </c>
      <c r="C31" s="3">
        <v>108</v>
      </c>
      <c r="D31" s="3">
        <v>107</v>
      </c>
      <c r="E31" s="3">
        <v>108</v>
      </c>
      <c r="F31" s="4">
        <v>4942800</v>
      </c>
      <c r="G31" s="3">
        <v>108</v>
      </c>
      <c r="H31">
        <v>0</v>
      </c>
      <c r="I31">
        <v>110</v>
      </c>
      <c r="J31">
        <v>116</v>
      </c>
      <c r="K31">
        <v>121</v>
      </c>
      <c r="L31">
        <v>1</v>
      </c>
      <c r="M31">
        <v>2016</v>
      </c>
      <c r="N31">
        <v>12</v>
      </c>
      <c r="O31">
        <v>3</v>
      </c>
      <c r="P31">
        <v>4</v>
      </c>
      <c r="Q31" s="2" t="s">
        <v>17</v>
      </c>
    </row>
    <row r="32" spans="1:17" x14ac:dyDescent="0.3">
      <c r="A32" s="1">
        <v>42727</v>
      </c>
      <c r="B32" s="3">
        <v>108</v>
      </c>
      <c r="C32" s="3">
        <v>108</v>
      </c>
      <c r="D32" s="3">
        <v>108</v>
      </c>
      <c r="E32" s="3">
        <v>108</v>
      </c>
      <c r="F32" s="4">
        <v>5012200</v>
      </c>
      <c r="G32" s="3">
        <v>108</v>
      </c>
      <c r="H32">
        <v>0</v>
      </c>
      <c r="I32">
        <v>110</v>
      </c>
      <c r="J32">
        <v>116</v>
      </c>
      <c r="K32">
        <v>121</v>
      </c>
      <c r="L32">
        <v>1</v>
      </c>
      <c r="M32">
        <v>2016</v>
      </c>
      <c r="N32">
        <v>12</v>
      </c>
      <c r="O32">
        <v>4</v>
      </c>
      <c r="P32">
        <v>4</v>
      </c>
      <c r="Q32" s="2" t="s">
        <v>17</v>
      </c>
    </row>
    <row r="33" spans="1:17" x14ac:dyDescent="0.3">
      <c r="A33" s="1">
        <v>42731</v>
      </c>
      <c r="B33" s="3">
        <v>109</v>
      </c>
      <c r="C33" s="3">
        <v>109</v>
      </c>
      <c r="D33" s="3">
        <v>108</v>
      </c>
      <c r="E33" s="3">
        <v>109</v>
      </c>
      <c r="F33" s="4">
        <v>3685500</v>
      </c>
      <c r="G33" s="3">
        <v>109</v>
      </c>
      <c r="H33">
        <v>1</v>
      </c>
      <c r="I33">
        <v>110</v>
      </c>
      <c r="J33">
        <v>116</v>
      </c>
      <c r="K33">
        <v>121</v>
      </c>
      <c r="L33">
        <v>1</v>
      </c>
      <c r="M33">
        <v>2016</v>
      </c>
      <c r="N33">
        <v>12</v>
      </c>
      <c r="O33">
        <v>1</v>
      </c>
      <c r="P33">
        <v>4</v>
      </c>
      <c r="Q33" s="2" t="s">
        <v>17</v>
      </c>
    </row>
    <row r="34" spans="1:17" x14ac:dyDescent="0.3">
      <c r="A34" s="1">
        <v>42732</v>
      </c>
      <c r="B34" s="3">
        <v>109</v>
      </c>
      <c r="C34" s="3">
        <v>109</v>
      </c>
      <c r="D34" s="3">
        <v>108</v>
      </c>
      <c r="E34" s="3">
        <v>108</v>
      </c>
      <c r="F34" s="4">
        <v>5091200</v>
      </c>
      <c r="G34" s="3">
        <v>109</v>
      </c>
      <c r="H34">
        <v>0</v>
      </c>
      <c r="I34">
        <v>110</v>
      </c>
      <c r="J34">
        <v>115</v>
      </c>
      <c r="K34">
        <v>121</v>
      </c>
      <c r="L34">
        <v>1</v>
      </c>
      <c r="M34">
        <v>2016</v>
      </c>
      <c r="N34">
        <v>12</v>
      </c>
      <c r="O34">
        <v>2</v>
      </c>
      <c r="P34">
        <v>4</v>
      </c>
      <c r="Q34" s="2" t="s">
        <v>17</v>
      </c>
    </row>
    <row r="35" spans="1:17" x14ac:dyDescent="0.3">
      <c r="A35" s="1">
        <v>42733</v>
      </c>
      <c r="B35" s="3">
        <v>110</v>
      </c>
      <c r="C35" s="3">
        <v>111</v>
      </c>
      <c r="D35" s="3">
        <v>109</v>
      </c>
      <c r="E35" s="3">
        <v>109</v>
      </c>
      <c r="F35" s="4">
        <v>7563900</v>
      </c>
      <c r="G35" s="3">
        <v>110</v>
      </c>
      <c r="H35">
        <v>1</v>
      </c>
      <c r="I35">
        <v>110</v>
      </c>
      <c r="J35">
        <v>115</v>
      </c>
      <c r="K35">
        <v>121</v>
      </c>
      <c r="L35">
        <v>1</v>
      </c>
      <c r="M35">
        <v>2016</v>
      </c>
      <c r="N35">
        <v>12</v>
      </c>
      <c r="O35">
        <v>3</v>
      </c>
      <c r="P35">
        <v>4</v>
      </c>
      <c r="Q35" s="2" t="s">
        <v>17</v>
      </c>
    </row>
    <row r="36" spans="1:17" x14ac:dyDescent="0.3">
      <c r="A36" s="1">
        <v>42734</v>
      </c>
      <c r="B36" s="3">
        <v>110</v>
      </c>
      <c r="C36" s="3">
        <v>111</v>
      </c>
      <c r="D36" s="3">
        <v>110</v>
      </c>
      <c r="E36" s="3">
        <v>110</v>
      </c>
      <c r="F36" s="4">
        <v>8873700</v>
      </c>
      <c r="G36" s="3">
        <v>110</v>
      </c>
      <c r="H36">
        <v>-1</v>
      </c>
      <c r="I36">
        <v>110</v>
      </c>
      <c r="J36">
        <v>115</v>
      </c>
      <c r="K36">
        <v>121</v>
      </c>
      <c r="L36">
        <v>1</v>
      </c>
      <c r="M36">
        <v>2016</v>
      </c>
      <c r="N36">
        <v>12</v>
      </c>
      <c r="O36">
        <v>4</v>
      </c>
      <c r="P36">
        <v>4</v>
      </c>
      <c r="Q36" s="2" t="s">
        <v>17</v>
      </c>
    </row>
    <row r="37" spans="1:17" x14ac:dyDescent="0.3">
      <c r="A37" s="1">
        <v>42738</v>
      </c>
      <c r="B37" s="3">
        <v>110</v>
      </c>
      <c r="C37" s="3">
        <v>111</v>
      </c>
      <c r="D37" s="3">
        <v>109</v>
      </c>
      <c r="E37" s="3">
        <v>110</v>
      </c>
      <c r="F37" s="4">
        <v>7527400</v>
      </c>
      <c r="G37" s="3">
        <v>110</v>
      </c>
      <c r="H37">
        <v>1</v>
      </c>
      <c r="I37">
        <v>109</v>
      </c>
      <c r="J37">
        <v>115</v>
      </c>
      <c r="K37">
        <v>121</v>
      </c>
      <c r="L37">
        <v>1</v>
      </c>
      <c r="M37">
        <v>2017</v>
      </c>
      <c r="N37">
        <v>1</v>
      </c>
      <c r="O37">
        <v>1</v>
      </c>
      <c r="P37">
        <v>1</v>
      </c>
      <c r="Q37" s="2" t="s">
        <v>17</v>
      </c>
    </row>
    <row r="38" spans="1:17" x14ac:dyDescent="0.3">
      <c r="A38" s="1">
        <v>42739</v>
      </c>
      <c r="B38" s="3">
        <v>111</v>
      </c>
      <c r="C38" s="3">
        <v>111</v>
      </c>
      <c r="D38" s="3">
        <v>111</v>
      </c>
      <c r="E38" s="3">
        <v>111</v>
      </c>
      <c r="F38" s="4">
        <v>4904100</v>
      </c>
      <c r="G38" s="3">
        <v>111</v>
      </c>
      <c r="H38">
        <v>0</v>
      </c>
      <c r="I38">
        <v>109</v>
      </c>
      <c r="J38">
        <v>115</v>
      </c>
      <c r="K38">
        <v>121</v>
      </c>
      <c r="L38">
        <v>1</v>
      </c>
      <c r="M38">
        <v>2017</v>
      </c>
      <c r="N38">
        <v>1</v>
      </c>
      <c r="O38">
        <v>2</v>
      </c>
      <c r="P38">
        <v>1</v>
      </c>
      <c r="Q38" s="2" t="s">
        <v>17</v>
      </c>
    </row>
    <row r="39" spans="1:17" x14ac:dyDescent="0.3">
      <c r="A39" s="1">
        <v>42740</v>
      </c>
      <c r="B39" s="3">
        <v>113</v>
      </c>
      <c r="C39" s="3">
        <v>113</v>
      </c>
      <c r="D39" s="3">
        <v>112</v>
      </c>
      <c r="E39" s="3">
        <v>112</v>
      </c>
      <c r="F39" s="4">
        <v>9606800</v>
      </c>
      <c r="G39" s="3">
        <v>113</v>
      </c>
      <c r="H39">
        <v>2</v>
      </c>
      <c r="I39">
        <v>110</v>
      </c>
      <c r="J39">
        <v>114</v>
      </c>
      <c r="K39">
        <v>121</v>
      </c>
      <c r="L39">
        <v>1</v>
      </c>
      <c r="M39">
        <v>2017</v>
      </c>
      <c r="N39">
        <v>1</v>
      </c>
      <c r="O39">
        <v>3</v>
      </c>
      <c r="P39">
        <v>1</v>
      </c>
      <c r="Q39" s="2" t="s">
        <v>17</v>
      </c>
    </row>
    <row r="40" spans="1:17" x14ac:dyDescent="0.3">
      <c r="A40" s="1">
        <v>42741</v>
      </c>
      <c r="B40" s="3">
        <v>112</v>
      </c>
      <c r="C40" s="3">
        <v>112</v>
      </c>
      <c r="D40" s="3">
        <v>112</v>
      </c>
      <c r="E40" s="3">
        <v>112</v>
      </c>
      <c r="F40" s="4">
        <v>7686100</v>
      </c>
      <c r="G40" s="3">
        <v>112</v>
      </c>
      <c r="H40">
        <v>-1</v>
      </c>
      <c r="I40">
        <v>110</v>
      </c>
      <c r="J40">
        <v>114</v>
      </c>
      <c r="K40">
        <v>121</v>
      </c>
      <c r="L40">
        <v>1</v>
      </c>
      <c r="M40">
        <v>2017</v>
      </c>
      <c r="N40">
        <v>1</v>
      </c>
      <c r="O40">
        <v>4</v>
      </c>
      <c r="P40">
        <v>1</v>
      </c>
      <c r="Q40" s="2" t="s">
        <v>17</v>
      </c>
    </row>
    <row r="41" spans="1:17" x14ac:dyDescent="0.3">
      <c r="A41" s="1">
        <v>42744</v>
      </c>
      <c r="B41" s="3">
        <v>113</v>
      </c>
      <c r="C41" s="3">
        <v>113</v>
      </c>
      <c r="D41" s="3">
        <v>112</v>
      </c>
      <c r="E41" s="3">
        <v>112</v>
      </c>
      <c r="F41" s="4">
        <v>5674600</v>
      </c>
      <c r="G41" s="3">
        <v>113</v>
      </c>
      <c r="H41">
        <v>1</v>
      </c>
      <c r="I41">
        <v>110</v>
      </c>
      <c r="J41">
        <v>114</v>
      </c>
      <c r="K41">
        <v>121</v>
      </c>
      <c r="L41">
        <v>1</v>
      </c>
      <c r="M41">
        <v>2017</v>
      </c>
      <c r="N41">
        <v>1</v>
      </c>
      <c r="O41">
        <v>0</v>
      </c>
      <c r="P41">
        <v>1</v>
      </c>
      <c r="Q41" s="2" t="s">
        <v>17</v>
      </c>
    </row>
    <row r="42" spans="1:17" x14ac:dyDescent="0.3">
      <c r="A42" s="1">
        <v>42745</v>
      </c>
      <c r="B42" s="3">
        <v>113</v>
      </c>
      <c r="C42" s="3">
        <v>113</v>
      </c>
      <c r="D42" s="3">
        <v>113</v>
      </c>
      <c r="E42" s="3">
        <v>113</v>
      </c>
      <c r="F42" s="4">
        <v>6093400</v>
      </c>
      <c r="G42" s="3">
        <v>113</v>
      </c>
      <c r="H42">
        <v>0</v>
      </c>
      <c r="I42">
        <v>110</v>
      </c>
      <c r="J42">
        <v>114</v>
      </c>
      <c r="K42">
        <v>121</v>
      </c>
      <c r="L42">
        <v>1</v>
      </c>
      <c r="M42">
        <v>2017</v>
      </c>
      <c r="N42">
        <v>1</v>
      </c>
      <c r="O42">
        <v>1</v>
      </c>
      <c r="P42">
        <v>1</v>
      </c>
      <c r="Q42" s="2" t="s">
        <v>17</v>
      </c>
    </row>
    <row r="43" spans="1:17" x14ac:dyDescent="0.3">
      <c r="A43" s="1">
        <v>42746</v>
      </c>
      <c r="B43" s="3">
        <v>114</v>
      </c>
      <c r="C43" s="3">
        <v>114</v>
      </c>
      <c r="D43" s="3">
        <v>112</v>
      </c>
      <c r="E43" s="3">
        <v>113</v>
      </c>
      <c r="F43" s="4">
        <v>9918700</v>
      </c>
      <c r="G43" s="3">
        <v>114</v>
      </c>
      <c r="H43">
        <v>0</v>
      </c>
      <c r="I43">
        <v>110</v>
      </c>
      <c r="J43">
        <v>114</v>
      </c>
      <c r="K43">
        <v>121</v>
      </c>
      <c r="L43">
        <v>1</v>
      </c>
      <c r="M43">
        <v>2017</v>
      </c>
      <c r="N43">
        <v>1</v>
      </c>
      <c r="O43">
        <v>2</v>
      </c>
      <c r="P43">
        <v>1</v>
      </c>
      <c r="Q43" s="2" t="s">
        <v>17</v>
      </c>
    </row>
    <row r="44" spans="1:17" x14ac:dyDescent="0.3">
      <c r="A44" s="1">
        <v>42747</v>
      </c>
      <c r="B44" s="3">
        <v>114</v>
      </c>
      <c r="C44" s="3">
        <v>115</v>
      </c>
      <c r="D44" s="3">
        <v>114</v>
      </c>
      <c r="E44" s="3">
        <v>115</v>
      </c>
      <c r="F44" s="4">
        <v>8457300</v>
      </c>
      <c r="G44" s="3">
        <v>114</v>
      </c>
      <c r="H44">
        <v>0</v>
      </c>
      <c r="I44">
        <v>110</v>
      </c>
      <c r="J44">
        <v>114</v>
      </c>
      <c r="K44">
        <v>121</v>
      </c>
      <c r="L44">
        <v>1</v>
      </c>
      <c r="M44">
        <v>2017</v>
      </c>
      <c r="N44">
        <v>1</v>
      </c>
      <c r="O44">
        <v>3</v>
      </c>
      <c r="P44">
        <v>1</v>
      </c>
      <c r="Q44" s="2" t="s">
        <v>17</v>
      </c>
    </row>
    <row r="45" spans="1:17" x14ac:dyDescent="0.3">
      <c r="A45" s="1">
        <v>42748</v>
      </c>
      <c r="B45" s="3">
        <v>114</v>
      </c>
      <c r="C45" s="3">
        <v>114</v>
      </c>
      <c r="D45" s="3">
        <v>113</v>
      </c>
      <c r="E45" s="3">
        <v>114</v>
      </c>
      <c r="F45" s="4">
        <v>7261500</v>
      </c>
      <c r="G45" s="3">
        <v>114</v>
      </c>
      <c r="H45">
        <v>0</v>
      </c>
      <c r="I45">
        <v>110</v>
      </c>
      <c r="J45">
        <v>113</v>
      </c>
      <c r="K45">
        <v>121</v>
      </c>
      <c r="L45">
        <v>1</v>
      </c>
      <c r="M45">
        <v>2017</v>
      </c>
      <c r="N45">
        <v>1</v>
      </c>
      <c r="O45">
        <v>4</v>
      </c>
      <c r="P45">
        <v>1</v>
      </c>
      <c r="Q45" s="2" t="s">
        <v>17</v>
      </c>
    </row>
    <row r="46" spans="1:17" x14ac:dyDescent="0.3">
      <c r="A46" s="1">
        <v>42752</v>
      </c>
      <c r="B46" s="3">
        <v>116</v>
      </c>
      <c r="C46" s="3">
        <v>116</v>
      </c>
      <c r="D46" s="3">
        <v>116</v>
      </c>
      <c r="E46" s="3">
        <v>116</v>
      </c>
      <c r="F46" s="4">
        <v>9142400</v>
      </c>
      <c r="G46" s="3">
        <v>116</v>
      </c>
      <c r="H46">
        <v>1</v>
      </c>
      <c r="I46">
        <v>111</v>
      </c>
      <c r="J46">
        <v>113</v>
      </c>
      <c r="K46">
        <v>121</v>
      </c>
      <c r="L46">
        <v>1</v>
      </c>
      <c r="M46">
        <v>2017</v>
      </c>
      <c r="N46">
        <v>1</v>
      </c>
      <c r="O46">
        <v>1</v>
      </c>
      <c r="P46">
        <v>1</v>
      </c>
      <c r="Q46" s="2" t="s">
        <v>17</v>
      </c>
    </row>
    <row r="47" spans="1:17" x14ac:dyDescent="0.3">
      <c r="A47" s="1">
        <v>42753</v>
      </c>
      <c r="B47" s="3">
        <v>115</v>
      </c>
      <c r="C47" s="3">
        <v>116</v>
      </c>
      <c r="D47" s="3">
        <v>115</v>
      </c>
      <c r="E47" s="3">
        <v>116</v>
      </c>
      <c r="F47" s="4">
        <v>6498100</v>
      </c>
      <c r="G47" s="3">
        <v>115</v>
      </c>
      <c r="H47">
        <v>-1</v>
      </c>
      <c r="I47">
        <v>111</v>
      </c>
      <c r="J47">
        <v>113</v>
      </c>
      <c r="K47">
        <v>121</v>
      </c>
      <c r="L47">
        <v>1</v>
      </c>
      <c r="M47">
        <v>2017</v>
      </c>
      <c r="N47">
        <v>1</v>
      </c>
      <c r="O47">
        <v>2</v>
      </c>
      <c r="P47">
        <v>1</v>
      </c>
      <c r="Q47" s="2" t="s">
        <v>17</v>
      </c>
    </row>
    <row r="48" spans="1:17" x14ac:dyDescent="0.3">
      <c r="A48" s="1">
        <v>42754</v>
      </c>
      <c r="B48" s="3">
        <v>115</v>
      </c>
      <c r="C48" s="3">
        <v>115</v>
      </c>
      <c r="D48" s="3">
        <v>114</v>
      </c>
      <c r="E48" s="3">
        <v>114</v>
      </c>
      <c r="F48" s="4">
        <v>6437000</v>
      </c>
      <c r="G48" s="3">
        <v>115</v>
      </c>
      <c r="H48">
        <v>0</v>
      </c>
      <c r="I48">
        <v>111</v>
      </c>
      <c r="J48">
        <v>113</v>
      </c>
      <c r="K48">
        <v>121</v>
      </c>
      <c r="L48">
        <v>1</v>
      </c>
      <c r="M48">
        <v>2017</v>
      </c>
      <c r="N48">
        <v>1</v>
      </c>
      <c r="O48">
        <v>3</v>
      </c>
      <c r="P48">
        <v>1</v>
      </c>
      <c r="Q48" s="2" t="s">
        <v>17</v>
      </c>
    </row>
    <row r="49" spans="1:17" x14ac:dyDescent="0.3">
      <c r="A49" s="1">
        <v>42755</v>
      </c>
      <c r="B49" s="3">
        <v>115</v>
      </c>
      <c r="C49" s="3">
        <v>116</v>
      </c>
      <c r="D49" s="3">
        <v>114</v>
      </c>
      <c r="E49" s="3">
        <v>115</v>
      </c>
      <c r="F49" s="4">
        <v>12261500</v>
      </c>
      <c r="G49" s="3">
        <v>115</v>
      </c>
      <c r="H49">
        <v>0</v>
      </c>
      <c r="I49">
        <v>112</v>
      </c>
      <c r="J49">
        <v>113</v>
      </c>
      <c r="K49">
        <v>121</v>
      </c>
      <c r="L49">
        <v>1</v>
      </c>
      <c r="M49">
        <v>2017</v>
      </c>
      <c r="N49">
        <v>1</v>
      </c>
      <c r="O49">
        <v>4</v>
      </c>
      <c r="P49">
        <v>1</v>
      </c>
      <c r="Q49" s="2" t="s">
        <v>17</v>
      </c>
    </row>
    <row r="50" spans="1:17" x14ac:dyDescent="0.3">
      <c r="A50" s="1">
        <v>42758</v>
      </c>
      <c r="B50" s="3">
        <v>116</v>
      </c>
      <c r="C50" s="3">
        <v>116</v>
      </c>
      <c r="D50" s="3">
        <v>115</v>
      </c>
      <c r="E50" s="3">
        <v>116</v>
      </c>
      <c r="F50" s="4">
        <v>6373100</v>
      </c>
      <c r="G50" s="3">
        <v>116</v>
      </c>
      <c r="H50">
        <v>1</v>
      </c>
      <c r="I50">
        <v>112</v>
      </c>
      <c r="J50">
        <v>113</v>
      </c>
      <c r="K50">
        <v>121</v>
      </c>
      <c r="L50">
        <v>1</v>
      </c>
      <c r="M50">
        <v>2017</v>
      </c>
      <c r="N50">
        <v>1</v>
      </c>
      <c r="O50">
        <v>0</v>
      </c>
      <c r="P50">
        <v>1</v>
      </c>
      <c r="Q50" s="2" t="s">
        <v>17</v>
      </c>
    </row>
    <row r="51" spans="1:17" x14ac:dyDescent="0.3">
      <c r="A51" s="1">
        <v>42759</v>
      </c>
      <c r="B51" s="3">
        <v>115</v>
      </c>
      <c r="C51" s="3">
        <v>116</v>
      </c>
      <c r="D51" s="3">
        <v>115</v>
      </c>
      <c r="E51" s="3">
        <v>116</v>
      </c>
      <c r="F51" s="4">
        <v>5798800</v>
      </c>
      <c r="G51" s="3">
        <v>115</v>
      </c>
      <c r="H51">
        <v>0</v>
      </c>
      <c r="I51">
        <v>112</v>
      </c>
      <c r="J51">
        <v>112</v>
      </c>
      <c r="K51">
        <v>121</v>
      </c>
      <c r="L51">
        <v>1</v>
      </c>
      <c r="M51">
        <v>2017</v>
      </c>
      <c r="N51">
        <v>1</v>
      </c>
      <c r="O51">
        <v>1</v>
      </c>
      <c r="P51">
        <v>1</v>
      </c>
      <c r="Q51" s="2" t="s">
        <v>17</v>
      </c>
    </row>
    <row r="52" spans="1:17" x14ac:dyDescent="0.3">
      <c r="A52" s="1">
        <v>42760</v>
      </c>
      <c r="B52" s="3">
        <v>114</v>
      </c>
      <c r="C52" s="3">
        <v>114</v>
      </c>
      <c r="D52" s="3">
        <v>114</v>
      </c>
      <c r="E52" s="3">
        <v>114</v>
      </c>
      <c r="F52" s="4">
        <v>6697500</v>
      </c>
      <c r="G52" s="3">
        <v>114</v>
      </c>
      <c r="H52">
        <v>-1</v>
      </c>
      <c r="I52">
        <v>113</v>
      </c>
      <c r="J52">
        <v>112</v>
      </c>
      <c r="K52">
        <v>121</v>
      </c>
      <c r="L52">
        <v>1</v>
      </c>
      <c r="M52">
        <v>2017</v>
      </c>
      <c r="N52">
        <v>1</v>
      </c>
      <c r="O52">
        <v>2</v>
      </c>
      <c r="P52">
        <v>1</v>
      </c>
      <c r="Q52" s="2" t="s">
        <v>17</v>
      </c>
    </row>
    <row r="53" spans="1:17" x14ac:dyDescent="0.3">
      <c r="A53" s="1">
        <v>42761</v>
      </c>
      <c r="B53" s="3">
        <v>113</v>
      </c>
      <c r="C53" s="3">
        <v>114</v>
      </c>
      <c r="D53" s="3">
        <v>113</v>
      </c>
      <c r="E53" s="3">
        <v>113</v>
      </c>
      <c r="F53" s="4">
        <v>5390500</v>
      </c>
      <c r="G53" s="3">
        <v>113</v>
      </c>
      <c r="H53">
        <v>-1</v>
      </c>
      <c r="I53">
        <v>113</v>
      </c>
      <c r="J53">
        <v>112</v>
      </c>
      <c r="K53">
        <v>121</v>
      </c>
      <c r="L53">
        <v>1</v>
      </c>
      <c r="M53">
        <v>2017</v>
      </c>
      <c r="N53">
        <v>1</v>
      </c>
      <c r="O53">
        <v>3</v>
      </c>
      <c r="P53">
        <v>1</v>
      </c>
      <c r="Q53" s="2" t="s">
        <v>17</v>
      </c>
    </row>
    <row r="54" spans="1:17" x14ac:dyDescent="0.3">
      <c r="A54" s="1">
        <v>42762</v>
      </c>
      <c r="B54" s="3">
        <v>113</v>
      </c>
      <c r="C54" s="3">
        <v>114</v>
      </c>
      <c r="D54" s="3">
        <v>113</v>
      </c>
      <c r="E54" s="3">
        <v>113</v>
      </c>
      <c r="F54" s="4">
        <v>6706600</v>
      </c>
      <c r="G54" s="3">
        <v>113</v>
      </c>
      <c r="H54">
        <v>0</v>
      </c>
      <c r="I54">
        <v>113</v>
      </c>
      <c r="J54">
        <v>112</v>
      </c>
      <c r="K54">
        <v>121</v>
      </c>
      <c r="L54">
        <v>1</v>
      </c>
      <c r="M54">
        <v>2017</v>
      </c>
      <c r="N54">
        <v>1</v>
      </c>
      <c r="O54">
        <v>4</v>
      </c>
      <c r="P54">
        <v>1</v>
      </c>
      <c r="Q54" s="2" t="s">
        <v>17</v>
      </c>
    </row>
    <row r="55" spans="1:17" x14ac:dyDescent="0.3">
      <c r="A55" s="1">
        <v>42765</v>
      </c>
      <c r="B55" s="3">
        <v>114</v>
      </c>
      <c r="C55" s="3">
        <v>114</v>
      </c>
      <c r="D55" s="3">
        <v>114</v>
      </c>
      <c r="E55" s="3">
        <v>114</v>
      </c>
      <c r="F55" s="4">
        <v>7687800</v>
      </c>
      <c r="G55" s="3">
        <v>114</v>
      </c>
      <c r="H55">
        <v>0</v>
      </c>
      <c r="I55">
        <v>113</v>
      </c>
      <c r="J55">
        <v>112</v>
      </c>
      <c r="K55">
        <v>121</v>
      </c>
      <c r="L55">
        <v>1</v>
      </c>
      <c r="M55">
        <v>2017</v>
      </c>
      <c r="N55">
        <v>1</v>
      </c>
      <c r="O55">
        <v>0</v>
      </c>
      <c r="P55">
        <v>1</v>
      </c>
      <c r="Q55" s="2" t="s">
        <v>17</v>
      </c>
    </row>
    <row r="56" spans="1:17" x14ac:dyDescent="0.3">
      <c r="A56" s="1">
        <v>42766</v>
      </c>
      <c r="B56" s="3">
        <v>116</v>
      </c>
      <c r="C56" s="3">
        <v>116</v>
      </c>
      <c r="D56" s="3">
        <v>115</v>
      </c>
      <c r="E56" s="3">
        <v>115</v>
      </c>
      <c r="F56" s="4">
        <v>10421900</v>
      </c>
      <c r="G56" s="3">
        <v>116</v>
      </c>
      <c r="H56">
        <v>1</v>
      </c>
      <c r="I56">
        <v>114</v>
      </c>
      <c r="J56">
        <v>112</v>
      </c>
      <c r="K56">
        <v>121</v>
      </c>
      <c r="L56">
        <v>1</v>
      </c>
      <c r="M56">
        <v>2017</v>
      </c>
      <c r="N56">
        <v>1</v>
      </c>
      <c r="O56">
        <v>1</v>
      </c>
      <c r="P56">
        <v>1</v>
      </c>
      <c r="Q56" s="2" t="s">
        <v>17</v>
      </c>
    </row>
    <row r="57" spans="1:17" x14ac:dyDescent="0.3">
      <c r="A57" s="1">
        <v>42767</v>
      </c>
      <c r="B57" s="3">
        <v>115</v>
      </c>
      <c r="C57" s="3">
        <v>115</v>
      </c>
      <c r="D57" s="3">
        <v>114</v>
      </c>
      <c r="E57" s="3">
        <v>115</v>
      </c>
      <c r="F57" s="4">
        <v>6932900</v>
      </c>
      <c r="G57" s="3">
        <v>115</v>
      </c>
      <c r="H57">
        <v>0</v>
      </c>
      <c r="I57">
        <v>114</v>
      </c>
      <c r="J57">
        <v>112</v>
      </c>
      <c r="K57">
        <v>121</v>
      </c>
      <c r="L57">
        <v>1</v>
      </c>
      <c r="M57">
        <v>2017</v>
      </c>
      <c r="N57">
        <v>2</v>
      </c>
      <c r="O57">
        <v>2</v>
      </c>
      <c r="P57">
        <v>1</v>
      </c>
      <c r="Q57" s="2" t="s">
        <v>17</v>
      </c>
    </row>
    <row r="58" spans="1:17" x14ac:dyDescent="0.3">
      <c r="A58" s="1">
        <v>42768</v>
      </c>
      <c r="B58" s="3">
        <v>116</v>
      </c>
      <c r="C58" s="3">
        <v>117</v>
      </c>
      <c r="D58" s="3">
        <v>116</v>
      </c>
      <c r="E58" s="3">
        <v>116</v>
      </c>
      <c r="F58" s="4">
        <v>7189500</v>
      </c>
      <c r="G58" s="3">
        <v>116</v>
      </c>
      <c r="H58">
        <v>1</v>
      </c>
      <c r="I58">
        <v>114</v>
      </c>
      <c r="J58">
        <v>112</v>
      </c>
      <c r="K58">
        <v>121</v>
      </c>
      <c r="L58">
        <v>1</v>
      </c>
      <c r="M58">
        <v>2017</v>
      </c>
      <c r="N58">
        <v>2</v>
      </c>
      <c r="O58">
        <v>3</v>
      </c>
      <c r="P58">
        <v>1</v>
      </c>
      <c r="Q58" s="2" t="s">
        <v>17</v>
      </c>
    </row>
    <row r="59" spans="1:17" x14ac:dyDescent="0.3">
      <c r="A59" s="1">
        <v>42769</v>
      </c>
      <c r="B59" s="3">
        <v>116</v>
      </c>
      <c r="C59" s="3">
        <v>116</v>
      </c>
      <c r="D59" s="3">
        <v>116</v>
      </c>
      <c r="E59" s="3">
        <v>116</v>
      </c>
      <c r="F59" s="4">
        <v>9455500</v>
      </c>
      <c r="G59" s="3">
        <v>116</v>
      </c>
      <c r="H59">
        <v>0</v>
      </c>
      <c r="I59">
        <v>114</v>
      </c>
      <c r="J59">
        <v>112</v>
      </c>
      <c r="K59">
        <v>121</v>
      </c>
      <c r="L59">
        <v>1</v>
      </c>
      <c r="M59">
        <v>2017</v>
      </c>
      <c r="N59">
        <v>2</v>
      </c>
      <c r="O59">
        <v>4</v>
      </c>
      <c r="P59">
        <v>1</v>
      </c>
      <c r="Q59" s="2" t="s">
        <v>17</v>
      </c>
    </row>
    <row r="60" spans="1:17" x14ac:dyDescent="0.3">
      <c r="A60" s="1">
        <v>42772</v>
      </c>
      <c r="B60" s="3">
        <v>118</v>
      </c>
      <c r="C60" s="3">
        <v>118</v>
      </c>
      <c r="D60" s="3">
        <v>117</v>
      </c>
      <c r="E60" s="3">
        <v>117</v>
      </c>
      <c r="F60" s="4">
        <v>8547800</v>
      </c>
      <c r="G60" s="3">
        <v>118</v>
      </c>
      <c r="H60">
        <v>1</v>
      </c>
      <c r="I60">
        <v>115</v>
      </c>
      <c r="J60">
        <v>112</v>
      </c>
      <c r="K60">
        <v>121</v>
      </c>
      <c r="L60">
        <v>1</v>
      </c>
      <c r="M60">
        <v>2017</v>
      </c>
      <c r="N60">
        <v>2</v>
      </c>
      <c r="O60">
        <v>0</v>
      </c>
      <c r="P60">
        <v>1</v>
      </c>
      <c r="Q60" s="2" t="s">
        <v>17</v>
      </c>
    </row>
    <row r="61" spans="1:17" x14ac:dyDescent="0.3">
      <c r="A61" s="1">
        <v>42773</v>
      </c>
      <c r="B61" s="3">
        <v>117</v>
      </c>
      <c r="C61" s="3">
        <v>118</v>
      </c>
      <c r="D61" s="3">
        <v>117</v>
      </c>
      <c r="E61" s="3">
        <v>117</v>
      </c>
      <c r="F61" s="4">
        <v>8621000</v>
      </c>
      <c r="G61" s="3">
        <v>117</v>
      </c>
      <c r="H61">
        <v>0</v>
      </c>
      <c r="I61">
        <v>115</v>
      </c>
      <c r="J61">
        <v>112</v>
      </c>
      <c r="K61">
        <v>121</v>
      </c>
      <c r="L61">
        <v>1</v>
      </c>
      <c r="M61">
        <v>2017</v>
      </c>
      <c r="N61">
        <v>2</v>
      </c>
      <c r="O61">
        <v>1</v>
      </c>
      <c r="P61">
        <v>1</v>
      </c>
      <c r="Q61" s="2" t="s">
        <v>17</v>
      </c>
    </row>
    <row r="62" spans="1:17" x14ac:dyDescent="0.3">
      <c r="A62" s="1">
        <v>42774</v>
      </c>
      <c r="B62" s="3">
        <v>118</v>
      </c>
      <c r="C62" s="3">
        <v>119</v>
      </c>
      <c r="D62" s="3">
        <v>118</v>
      </c>
      <c r="E62" s="3">
        <v>118</v>
      </c>
      <c r="F62" s="4">
        <v>9633400</v>
      </c>
      <c r="G62" s="3">
        <v>118</v>
      </c>
      <c r="H62">
        <v>1</v>
      </c>
      <c r="I62">
        <v>115</v>
      </c>
      <c r="J62">
        <v>112</v>
      </c>
      <c r="K62">
        <v>121</v>
      </c>
      <c r="L62">
        <v>1</v>
      </c>
      <c r="M62">
        <v>2017</v>
      </c>
      <c r="N62">
        <v>2</v>
      </c>
      <c r="O62">
        <v>2</v>
      </c>
      <c r="P62">
        <v>1</v>
      </c>
      <c r="Q62" s="2" t="s">
        <v>17</v>
      </c>
    </row>
    <row r="63" spans="1:17" x14ac:dyDescent="0.3">
      <c r="A63" s="1">
        <v>42775</v>
      </c>
      <c r="B63" s="3">
        <v>117</v>
      </c>
      <c r="C63" s="3">
        <v>119</v>
      </c>
      <c r="D63" s="3">
        <v>117</v>
      </c>
      <c r="E63" s="3">
        <v>118</v>
      </c>
      <c r="F63" s="4">
        <v>8177200</v>
      </c>
      <c r="G63" s="3">
        <v>117</v>
      </c>
      <c r="H63">
        <v>-1</v>
      </c>
      <c r="I63">
        <v>115</v>
      </c>
      <c r="J63">
        <v>112</v>
      </c>
      <c r="K63">
        <v>121</v>
      </c>
      <c r="L63">
        <v>1</v>
      </c>
      <c r="M63">
        <v>2017</v>
      </c>
      <c r="N63">
        <v>2</v>
      </c>
      <c r="O63">
        <v>3</v>
      </c>
      <c r="P63">
        <v>1</v>
      </c>
      <c r="Q63" s="2" t="s">
        <v>17</v>
      </c>
    </row>
    <row r="64" spans="1:17" x14ac:dyDescent="0.3">
      <c r="A64" s="1">
        <v>42776</v>
      </c>
      <c r="B64" s="3">
        <v>118</v>
      </c>
      <c r="C64" s="3">
        <v>118</v>
      </c>
      <c r="D64" s="3">
        <v>117</v>
      </c>
      <c r="E64" s="3">
        <v>117</v>
      </c>
      <c r="F64" s="4">
        <v>9072100</v>
      </c>
      <c r="G64" s="3">
        <v>118</v>
      </c>
      <c r="H64">
        <v>0</v>
      </c>
      <c r="I64">
        <v>116</v>
      </c>
      <c r="J64">
        <v>113</v>
      </c>
      <c r="K64">
        <v>121</v>
      </c>
      <c r="L64">
        <v>1</v>
      </c>
      <c r="M64">
        <v>2017</v>
      </c>
      <c r="N64">
        <v>2</v>
      </c>
      <c r="O64">
        <v>4</v>
      </c>
      <c r="P64">
        <v>1</v>
      </c>
      <c r="Q64" s="2" t="s">
        <v>17</v>
      </c>
    </row>
    <row r="65" spans="1:17" x14ac:dyDescent="0.3">
      <c r="A65" s="1">
        <v>42779</v>
      </c>
      <c r="B65" s="3">
        <v>117</v>
      </c>
      <c r="C65" s="3">
        <v>117</v>
      </c>
      <c r="D65" s="3">
        <v>116</v>
      </c>
      <c r="E65" s="3">
        <v>117</v>
      </c>
      <c r="F65" s="4">
        <v>7354900</v>
      </c>
      <c r="G65" s="3">
        <v>117</v>
      </c>
      <c r="H65">
        <v>-1</v>
      </c>
      <c r="I65">
        <v>116</v>
      </c>
      <c r="J65">
        <v>113</v>
      </c>
      <c r="K65">
        <v>121</v>
      </c>
      <c r="L65">
        <v>1</v>
      </c>
      <c r="M65">
        <v>2017</v>
      </c>
      <c r="N65">
        <v>2</v>
      </c>
      <c r="O65">
        <v>0</v>
      </c>
      <c r="P65">
        <v>1</v>
      </c>
      <c r="Q65" s="2" t="s">
        <v>17</v>
      </c>
    </row>
    <row r="66" spans="1:17" x14ac:dyDescent="0.3">
      <c r="A66" s="1">
        <v>42780</v>
      </c>
      <c r="B66" s="3">
        <v>117</v>
      </c>
      <c r="C66" s="3">
        <v>118</v>
      </c>
      <c r="D66" s="3">
        <v>116</v>
      </c>
      <c r="E66" s="3">
        <v>118</v>
      </c>
      <c r="F66" s="4">
        <v>6927800</v>
      </c>
      <c r="G66" s="3">
        <v>117</v>
      </c>
      <c r="H66">
        <v>0</v>
      </c>
      <c r="I66">
        <v>116</v>
      </c>
      <c r="J66">
        <v>113</v>
      </c>
      <c r="K66">
        <v>121</v>
      </c>
      <c r="L66">
        <v>1</v>
      </c>
      <c r="M66">
        <v>2017</v>
      </c>
      <c r="N66">
        <v>2</v>
      </c>
      <c r="O66">
        <v>1</v>
      </c>
      <c r="P66">
        <v>1</v>
      </c>
      <c r="Q66" s="2" t="s">
        <v>17</v>
      </c>
    </row>
    <row r="67" spans="1:17" x14ac:dyDescent="0.3">
      <c r="A67" s="1">
        <v>42781</v>
      </c>
      <c r="B67" s="3">
        <v>117</v>
      </c>
      <c r="C67" s="3">
        <v>117</v>
      </c>
      <c r="D67" s="3">
        <v>116</v>
      </c>
      <c r="E67" s="3">
        <v>116</v>
      </c>
      <c r="F67" s="4">
        <v>7088400</v>
      </c>
      <c r="G67" s="3">
        <v>117</v>
      </c>
      <c r="H67">
        <v>0</v>
      </c>
      <c r="I67">
        <v>116</v>
      </c>
      <c r="J67">
        <v>113</v>
      </c>
      <c r="K67">
        <v>121</v>
      </c>
      <c r="L67">
        <v>1</v>
      </c>
      <c r="M67">
        <v>2017</v>
      </c>
      <c r="N67">
        <v>2</v>
      </c>
      <c r="O67">
        <v>2</v>
      </c>
      <c r="P67">
        <v>1</v>
      </c>
      <c r="Q67" s="2" t="s">
        <v>17</v>
      </c>
    </row>
    <row r="68" spans="1:17" x14ac:dyDescent="0.3">
      <c r="A68" s="1">
        <v>42782</v>
      </c>
      <c r="B68" s="3">
        <v>118</v>
      </c>
      <c r="C68" s="3">
        <v>118</v>
      </c>
      <c r="D68" s="3">
        <v>118</v>
      </c>
      <c r="E68" s="3">
        <v>118</v>
      </c>
      <c r="F68" s="4">
        <v>6378700</v>
      </c>
      <c r="G68" s="3">
        <v>118</v>
      </c>
      <c r="H68">
        <v>1</v>
      </c>
      <c r="I68">
        <v>116</v>
      </c>
      <c r="J68">
        <v>113</v>
      </c>
      <c r="K68">
        <v>121</v>
      </c>
      <c r="L68">
        <v>1</v>
      </c>
      <c r="M68">
        <v>2017</v>
      </c>
      <c r="N68">
        <v>2</v>
      </c>
      <c r="O68">
        <v>3</v>
      </c>
      <c r="P68">
        <v>1</v>
      </c>
      <c r="Q68" s="2" t="s">
        <v>17</v>
      </c>
    </row>
    <row r="69" spans="1:17" x14ac:dyDescent="0.3">
      <c r="A69" s="1">
        <v>42783</v>
      </c>
      <c r="B69" s="3">
        <v>118</v>
      </c>
      <c r="C69" s="3">
        <v>118</v>
      </c>
      <c r="D69" s="3">
        <v>118</v>
      </c>
      <c r="E69" s="3">
        <v>118</v>
      </c>
      <c r="F69" s="4">
        <v>7338100</v>
      </c>
      <c r="G69" s="3">
        <v>118</v>
      </c>
      <c r="H69">
        <v>0</v>
      </c>
      <c r="I69">
        <v>116</v>
      </c>
      <c r="J69">
        <v>113</v>
      </c>
      <c r="K69">
        <v>121</v>
      </c>
      <c r="L69">
        <v>1</v>
      </c>
      <c r="M69">
        <v>2017</v>
      </c>
      <c r="N69">
        <v>2</v>
      </c>
      <c r="O69">
        <v>4</v>
      </c>
      <c r="P69">
        <v>1</v>
      </c>
      <c r="Q69" s="2" t="s">
        <v>17</v>
      </c>
    </row>
    <row r="70" spans="1:17" x14ac:dyDescent="0.3">
      <c r="A70" s="1">
        <v>42787</v>
      </c>
      <c r="B70" s="3">
        <v>118</v>
      </c>
      <c r="C70" s="3">
        <v>118</v>
      </c>
      <c r="D70" s="3">
        <v>117</v>
      </c>
      <c r="E70" s="3">
        <v>117</v>
      </c>
      <c r="F70" s="4">
        <v>6166900</v>
      </c>
      <c r="G70" s="3">
        <v>118</v>
      </c>
      <c r="H70">
        <v>0</v>
      </c>
      <c r="I70">
        <v>116</v>
      </c>
      <c r="J70">
        <v>113</v>
      </c>
      <c r="K70">
        <v>120</v>
      </c>
      <c r="L70">
        <v>1</v>
      </c>
      <c r="M70">
        <v>2017</v>
      </c>
      <c r="N70">
        <v>2</v>
      </c>
      <c r="O70">
        <v>1</v>
      </c>
      <c r="P70">
        <v>1</v>
      </c>
      <c r="Q70" s="2" t="s">
        <v>17</v>
      </c>
    </row>
    <row r="71" spans="1:17" x14ac:dyDescent="0.3">
      <c r="A71" s="1">
        <v>42788</v>
      </c>
      <c r="B71" s="3">
        <v>118</v>
      </c>
      <c r="C71" s="3">
        <v>118</v>
      </c>
      <c r="D71" s="3">
        <v>117</v>
      </c>
      <c r="E71" s="3">
        <v>118</v>
      </c>
      <c r="F71" s="4">
        <v>6057200</v>
      </c>
      <c r="G71" s="3">
        <v>118</v>
      </c>
      <c r="H71">
        <v>0</v>
      </c>
      <c r="I71">
        <v>116</v>
      </c>
      <c r="J71">
        <v>113</v>
      </c>
      <c r="K71">
        <v>120</v>
      </c>
      <c r="L71">
        <v>1</v>
      </c>
      <c r="M71">
        <v>2017</v>
      </c>
      <c r="N71">
        <v>2</v>
      </c>
      <c r="O71">
        <v>2</v>
      </c>
      <c r="P71">
        <v>1</v>
      </c>
      <c r="Q71" s="2" t="s">
        <v>17</v>
      </c>
    </row>
    <row r="72" spans="1:17" x14ac:dyDescent="0.3">
      <c r="A72" s="1">
        <v>42789</v>
      </c>
      <c r="B72" s="3">
        <v>119</v>
      </c>
      <c r="C72" s="3">
        <v>119</v>
      </c>
      <c r="D72" s="3">
        <v>119</v>
      </c>
      <c r="E72" s="3">
        <v>119</v>
      </c>
      <c r="F72" s="4">
        <v>7523300</v>
      </c>
      <c r="G72" s="3">
        <v>119</v>
      </c>
      <c r="H72">
        <v>1</v>
      </c>
      <c r="I72">
        <v>117</v>
      </c>
      <c r="J72">
        <v>113</v>
      </c>
      <c r="K72">
        <v>120</v>
      </c>
      <c r="L72">
        <v>1</v>
      </c>
      <c r="M72">
        <v>2017</v>
      </c>
      <c r="N72">
        <v>2</v>
      </c>
      <c r="O72">
        <v>3</v>
      </c>
      <c r="P72">
        <v>1</v>
      </c>
      <c r="Q72" s="2" t="s">
        <v>17</v>
      </c>
    </row>
    <row r="73" spans="1:17" x14ac:dyDescent="0.3">
      <c r="A73" s="1">
        <v>42790</v>
      </c>
      <c r="B73" s="3">
        <v>120</v>
      </c>
      <c r="C73" s="3">
        <v>120</v>
      </c>
      <c r="D73" s="3">
        <v>119</v>
      </c>
      <c r="E73" s="3">
        <v>120</v>
      </c>
      <c r="F73" s="4">
        <v>9809000</v>
      </c>
      <c r="G73" s="3">
        <v>120</v>
      </c>
      <c r="H73">
        <v>1</v>
      </c>
      <c r="I73">
        <v>117</v>
      </c>
      <c r="J73">
        <v>114</v>
      </c>
      <c r="K73">
        <v>120</v>
      </c>
      <c r="L73">
        <v>1</v>
      </c>
      <c r="M73">
        <v>2017</v>
      </c>
      <c r="N73">
        <v>2</v>
      </c>
      <c r="O73">
        <v>4</v>
      </c>
      <c r="P73">
        <v>1</v>
      </c>
      <c r="Q73" s="2" t="s">
        <v>17</v>
      </c>
    </row>
    <row r="74" spans="1:17" x14ac:dyDescent="0.3">
      <c r="A74" s="1">
        <v>42793</v>
      </c>
      <c r="B74" s="3">
        <v>119</v>
      </c>
      <c r="C74" s="3">
        <v>120</v>
      </c>
      <c r="D74" s="3">
        <v>119</v>
      </c>
      <c r="E74" s="3">
        <v>120</v>
      </c>
      <c r="F74" s="4">
        <v>9263500</v>
      </c>
      <c r="G74" s="3">
        <v>119</v>
      </c>
      <c r="H74">
        <v>0</v>
      </c>
      <c r="I74">
        <v>117</v>
      </c>
      <c r="J74">
        <v>114</v>
      </c>
      <c r="K74">
        <v>120</v>
      </c>
      <c r="L74">
        <v>1</v>
      </c>
      <c r="M74">
        <v>2017</v>
      </c>
      <c r="N74">
        <v>2</v>
      </c>
      <c r="O74">
        <v>0</v>
      </c>
      <c r="P74">
        <v>1</v>
      </c>
      <c r="Q74" s="2" t="s">
        <v>17</v>
      </c>
    </row>
    <row r="75" spans="1:17" x14ac:dyDescent="0.3">
      <c r="A75" s="1">
        <v>42794</v>
      </c>
      <c r="B75" s="3">
        <v>119</v>
      </c>
      <c r="C75" s="3">
        <v>120</v>
      </c>
      <c r="D75" s="3">
        <v>119</v>
      </c>
      <c r="E75" s="3">
        <v>120</v>
      </c>
      <c r="F75" s="4">
        <v>8727800</v>
      </c>
      <c r="G75" s="3">
        <v>119</v>
      </c>
      <c r="H75">
        <v>0</v>
      </c>
      <c r="I75">
        <v>118</v>
      </c>
      <c r="J75">
        <v>114</v>
      </c>
      <c r="K75">
        <v>120</v>
      </c>
      <c r="L75">
        <v>1</v>
      </c>
      <c r="M75">
        <v>2017</v>
      </c>
      <c r="N75">
        <v>2</v>
      </c>
      <c r="O75">
        <v>1</v>
      </c>
      <c r="P75">
        <v>1</v>
      </c>
      <c r="Q75" s="2" t="s">
        <v>17</v>
      </c>
    </row>
    <row r="76" spans="1:17" x14ac:dyDescent="0.3">
      <c r="A76" s="1">
        <v>42795</v>
      </c>
      <c r="B76" s="3">
        <v>119</v>
      </c>
      <c r="C76" s="3">
        <v>119</v>
      </c>
      <c r="D76" s="3">
        <v>118</v>
      </c>
      <c r="E76" s="3">
        <v>118</v>
      </c>
      <c r="F76" s="4">
        <v>8679600</v>
      </c>
      <c r="G76" s="3">
        <v>119</v>
      </c>
      <c r="H76">
        <v>0</v>
      </c>
      <c r="I76">
        <v>118</v>
      </c>
      <c r="J76">
        <v>114</v>
      </c>
      <c r="K76">
        <v>120</v>
      </c>
      <c r="L76">
        <v>1</v>
      </c>
      <c r="M76">
        <v>2017</v>
      </c>
      <c r="N76">
        <v>3</v>
      </c>
      <c r="O76">
        <v>2</v>
      </c>
      <c r="P76">
        <v>1</v>
      </c>
      <c r="Q76" s="2" t="s">
        <v>17</v>
      </c>
    </row>
    <row r="77" spans="1:17" x14ac:dyDescent="0.3">
      <c r="A77" s="1">
        <v>42796</v>
      </c>
      <c r="B77" s="3">
        <v>118</v>
      </c>
      <c r="C77" s="3">
        <v>118</v>
      </c>
      <c r="D77" s="3">
        <v>117</v>
      </c>
      <c r="E77" s="3">
        <v>118</v>
      </c>
      <c r="F77" s="4">
        <v>10986300</v>
      </c>
      <c r="G77" s="3">
        <v>118</v>
      </c>
      <c r="H77">
        <v>-1</v>
      </c>
      <c r="I77">
        <v>118</v>
      </c>
      <c r="J77">
        <v>114</v>
      </c>
      <c r="K77">
        <v>120</v>
      </c>
      <c r="L77">
        <v>1</v>
      </c>
      <c r="M77">
        <v>2017</v>
      </c>
      <c r="N77">
        <v>3</v>
      </c>
      <c r="O77">
        <v>3</v>
      </c>
      <c r="P77">
        <v>1</v>
      </c>
      <c r="Q77" s="2" t="s">
        <v>17</v>
      </c>
    </row>
    <row r="78" spans="1:17" x14ac:dyDescent="0.3">
      <c r="A78" s="1">
        <v>42797</v>
      </c>
      <c r="B78" s="3">
        <v>118</v>
      </c>
      <c r="C78" s="3">
        <v>118</v>
      </c>
      <c r="D78" s="3">
        <v>116</v>
      </c>
      <c r="E78" s="3">
        <v>117</v>
      </c>
      <c r="F78" s="4">
        <v>10665800</v>
      </c>
      <c r="G78" s="3">
        <v>118</v>
      </c>
      <c r="H78">
        <v>0</v>
      </c>
      <c r="I78">
        <v>118</v>
      </c>
      <c r="J78">
        <v>115</v>
      </c>
      <c r="K78">
        <v>120</v>
      </c>
      <c r="L78">
        <v>1</v>
      </c>
      <c r="M78">
        <v>2017</v>
      </c>
      <c r="N78">
        <v>3</v>
      </c>
      <c r="O78">
        <v>4</v>
      </c>
      <c r="P78">
        <v>1</v>
      </c>
      <c r="Q78" s="2" t="s">
        <v>17</v>
      </c>
    </row>
    <row r="79" spans="1:17" x14ac:dyDescent="0.3">
      <c r="A79" s="1">
        <v>42800</v>
      </c>
      <c r="B79" s="3">
        <v>117</v>
      </c>
      <c r="C79" s="3">
        <v>117</v>
      </c>
      <c r="D79" s="3">
        <v>117</v>
      </c>
      <c r="E79" s="3">
        <v>117</v>
      </c>
      <c r="F79" s="4">
        <v>4883500</v>
      </c>
      <c r="G79" s="3">
        <v>117</v>
      </c>
      <c r="H79">
        <v>-1</v>
      </c>
      <c r="I79">
        <v>118</v>
      </c>
      <c r="J79">
        <v>115</v>
      </c>
      <c r="K79">
        <v>120</v>
      </c>
      <c r="L79">
        <v>1</v>
      </c>
      <c r="M79">
        <v>2017</v>
      </c>
      <c r="N79">
        <v>3</v>
      </c>
      <c r="O79">
        <v>0</v>
      </c>
      <c r="P79">
        <v>1</v>
      </c>
      <c r="Q79" s="2" t="s">
        <v>17</v>
      </c>
    </row>
    <row r="80" spans="1:17" x14ac:dyDescent="0.3">
      <c r="A80" s="1">
        <v>42801</v>
      </c>
      <c r="B80" s="3">
        <v>116</v>
      </c>
      <c r="C80" s="3">
        <v>116</v>
      </c>
      <c r="D80" s="3">
        <v>116</v>
      </c>
      <c r="E80" s="3">
        <v>116</v>
      </c>
      <c r="F80" s="4">
        <v>6846300</v>
      </c>
      <c r="G80" s="3">
        <v>116</v>
      </c>
      <c r="H80">
        <v>-1</v>
      </c>
      <c r="I80">
        <v>118</v>
      </c>
      <c r="J80">
        <v>115</v>
      </c>
      <c r="K80">
        <v>120</v>
      </c>
      <c r="L80">
        <v>1</v>
      </c>
      <c r="M80">
        <v>2017</v>
      </c>
      <c r="N80">
        <v>3</v>
      </c>
      <c r="O80">
        <v>1</v>
      </c>
      <c r="P80">
        <v>1</v>
      </c>
      <c r="Q80" s="2" t="s">
        <v>17</v>
      </c>
    </row>
    <row r="81" spans="1:17" x14ac:dyDescent="0.3">
      <c r="A81" s="1">
        <v>42802</v>
      </c>
      <c r="B81" s="3">
        <v>115</v>
      </c>
      <c r="C81" s="3">
        <v>115</v>
      </c>
      <c r="D81" s="3">
        <v>115</v>
      </c>
      <c r="E81" s="3">
        <v>115</v>
      </c>
      <c r="F81" s="4">
        <v>7620900</v>
      </c>
      <c r="G81" s="3">
        <v>115</v>
      </c>
      <c r="H81">
        <v>-1</v>
      </c>
      <c r="I81">
        <v>118</v>
      </c>
      <c r="J81">
        <v>115</v>
      </c>
      <c r="K81">
        <v>120</v>
      </c>
      <c r="L81">
        <v>1</v>
      </c>
      <c r="M81">
        <v>2017</v>
      </c>
      <c r="N81">
        <v>3</v>
      </c>
      <c r="O81">
        <v>2</v>
      </c>
      <c r="P81">
        <v>1</v>
      </c>
      <c r="Q81" s="2" t="s">
        <v>17</v>
      </c>
    </row>
    <row r="82" spans="1:17" x14ac:dyDescent="0.3">
      <c r="A82" s="1">
        <v>42803</v>
      </c>
      <c r="B82" s="3">
        <v>114</v>
      </c>
      <c r="C82" s="3">
        <v>115</v>
      </c>
      <c r="D82" s="3">
        <v>114</v>
      </c>
      <c r="E82" s="3">
        <v>115</v>
      </c>
      <c r="F82" s="4">
        <v>6410900</v>
      </c>
      <c r="G82" s="3">
        <v>114</v>
      </c>
      <c r="H82">
        <v>-1</v>
      </c>
      <c r="I82">
        <v>118</v>
      </c>
      <c r="J82">
        <v>115</v>
      </c>
      <c r="K82">
        <v>120</v>
      </c>
      <c r="L82">
        <v>1</v>
      </c>
      <c r="M82">
        <v>2017</v>
      </c>
      <c r="N82">
        <v>3</v>
      </c>
      <c r="O82">
        <v>3</v>
      </c>
      <c r="P82">
        <v>1</v>
      </c>
      <c r="Q82" s="2" t="s">
        <v>17</v>
      </c>
    </row>
    <row r="83" spans="1:17" x14ac:dyDescent="0.3">
      <c r="A83" s="1">
        <v>42804</v>
      </c>
      <c r="B83" s="3">
        <v>115</v>
      </c>
      <c r="C83" s="3">
        <v>115</v>
      </c>
      <c r="D83" s="3">
        <v>114</v>
      </c>
      <c r="E83" s="3">
        <v>114</v>
      </c>
      <c r="F83" s="4">
        <v>7929500</v>
      </c>
      <c r="G83" s="3">
        <v>115</v>
      </c>
      <c r="H83">
        <v>0</v>
      </c>
      <c r="I83">
        <v>117</v>
      </c>
      <c r="J83">
        <v>115</v>
      </c>
      <c r="K83">
        <v>120</v>
      </c>
      <c r="L83">
        <v>1</v>
      </c>
      <c r="M83">
        <v>2017</v>
      </c>
      <c r="N83">
        <v>3</v>
      </c>
      <c r="O83">
        <v>4</v>
      </c>
      <c r="P83">
        <v>1</v>
      </c>
      <c r="Q83" s="2" t="s">
        <v>17</v>
      </c>
    </row>
    <row r="84" spans="1:17" x14ac:dyDescent="0.3">
      <c r="A84" s="1">
        <v>42807</v>
      </c>
      <c r="B84" s="3">
        <v>115</v>
      </c>
      <c r="C84" s="3">
        <v>115</v>
      </c>
      <c r="D84" s="3">
        <v>115</v>
      </c>
      <c r="E84" s="3">
        <v>115</v>
      </c>
      <c r="F84" s="4">
        <v>5807400</v>
      </c>
      <c r="G84" s="3">
        <v>115</v>
      </c>
      <c r="H84">
        <v>0</v>
      </c>
      <c r="I84">
        <v>117</v>
      </c>
      <c r="J84">
        <v>116</v>
      </c>
      <c r="K84">
        <v>120</v>
      </c>
      <c r="L84">
        <v>1</v>
      </c>
      <c r="M84">
        <v>2017</v>
      </c>
      <c r="N84">
        <v>3</v>
      </c>
      <c r="O84">
        <v>0</v>
      </c>
      <c r="P84">
        <v>1</v>
      </c>
      <c r="Q84" s="2" t="s">
        <v>17</v>
      </c>
    </row>
    <row r="85" spans="1:17" x14ac:dyDescent="0.3">
      <c r="A85" s="1">
        <v>42808</v>
      </c>
      <c r="B85" s="3">
        <v>114</v>
      </c>
      <c r="C85" s="3">
        <v>115</v>
      </c>
      <c r="D85" s="3">
        <v>114</v>
      </c>
      <c r="E85" s="3">
        <v>115</v>
      </c>
      <c r="F85" s="4">
        <v>5301800</v>
      </c>
      <c r="G85" s="3">
        <v>114</v>
      </c>
      <c r="H85">
        <v>-1</v>
      </c>
      <c r="I85">
        <v>117</v>
      </c>
      <c r="J85">
        <v>116</v>
      </c>
      <c r="K85">
        <v>120</v>
      </c>
      <c r="L85">
        <v>1</v>
      </c>
      <c r="M85">
        <v>2017</v>
      </c>
      <c r="N85">
        <v>3</v>
      </c>
      <c r="O85">
        <v>1</v>
      </c>
      <c r="P85">
        <v>1</v>
      </c>
      <c r="Q85" s="2" t="s">
        <v>17</v>
      </c>
    </row>
    <row r="86" spans="1:17" x14ac:dyDescent="0.3">
      <c r="A86" s="1">
        <v>42809</v>
      </c>
      <c r="B86" s="3">
        <v>116</v>
      </c>
      <c r="C86" s="3">
        <v>116</v>
      </c>
      <c r="D86" s="3">
        <v>114</v>
      </c>
      <c r="E86" s="3">
        <v>114</v>
      </c>
      <c r="F86" s="4">
        <v>13524100</v>
      </c>
      <c r="G86" s="3">
        <v>116</v>
      </c>
      <c r="H86">
        <v>2</v>
      </c>
      <c r="I86">
        <v>117</v>
      </c>
      <c r="J86">
        <v>116</v>
      </c>
      <c r="K86">
        <v>120</v>
      </c>
      <c r="L86">
        <v>1</v>
      </c>
      <c r="M86">
        <v>2017</v>
      </c>
      <c r="N86">
        <v>3</v>
      </c>
      <c r="O86">
        <v>2</v>
      </c>
      <c r="P86">
        <v>1</v>
      </c>
      <c r="Q86" s="2" t="s">
        <v>17</v>
      </c>
    </row>
    <row r="87" spans="1:17" x14ac:dyDescent="0.3">
      <c r="A87" s="1">
        <v>42810</v>
      </c>
      <c r="B87" s="3">
        <v>117</v>
      </c>
      <c r="C87" s="3">
        <v>117</v>
      </c>
      <c r="D87" s="3">
        <v>117</v>
      </c>
      <c r="E87" s="3">
        <v>117</v>
      </c>
      <c r="F87" s="4">
        <v>9322000</v>
      </c>
      <c r="G87" s="3">
        <v>117</v>
      </c>
      <c r="H87">
        <v>0</v>
      </c>
      <c r="I87">
        <v>117</v>
      </c>
      <c r="J87">
        <v>116</v>
      </c>
      <c r="K87">
        <v>120</v>
      </c>
      <c r="L87">
        <v>1</v>
      </c>
      <c r="M87">
        <v>2017</v>
      </c>
      <c r="N87">
        <v>3</v>
      </c>
      <c r="O87">
        <v>3</v>
      </c>
      <c r="P87">
        <v>1</v>
      </c>
      <c r="Q87" s="2" t="s">
        <v>17</v>
      </c>
    </row>
    <row r="88" spans="1:17" x14ac:dyDescent="0.3">
      <c r="A88" s="1">
        <v>42811</v>
      </c>
      <c r="B88" s="3">
        <v>117</v>
      </c>
      <c r="C88" s="3">
        <v>117</v>
      </c>
      <c r="D88" s="3">
        <v>117</v>
      </c>
      <c r="E88" s="3">
        <v>117</v>
      </c>
      <c r="F88" s="4">
        <v>4683000</v>
      </c>
      <c r="G88" s="3">
        <v>117</v>
      </c>
      <c r="H88">
        <v>0</v>
      </c>
      <c r="I88">
        <v>117</v>
      </c>
      <c r="J88">
        <v>116</v>
      </c>
      <c r="K88">
        <v>120</v>
      </c>
      <c r="L88">
        <v>1</v>
      </c>
      <c r="M88">
        <v>2017</v>
      </c>
      <c r="N88">
        <v>3</v>
      </c>
      <c r="O88">
        <v>4</v>
      </c>
      <c r="P88">
        <v>1</v>
      </c>
      <c r="Q88" s="2" t="s">
        <v>17</v>
      </c>
    </row>
    <row r="89" spans="1:17" x14ac:dyDescent="0.3">
      <c r="A89" s="1">
        <v>42814</v>
      </c>
      <c r="B89" s="3">
        <v>118</v>
      </c>
      <c r="C89" s="3">
        <v>118</v>
      </c>
      <c r="D89" s="3">
        <v>117</v>
      </c>
      <c r="E89" s="3">
        <v>117</v>
      </c>
      <c r="F89" s="4">
        <v>4000200</v>
      </c>
      <c r="G89" s="3">
        <v>118</v>
      </c>
      <c r="H89">
        <v>0</v>
      </c>
      <c r="I89">
        <v>117</v>
      </c>
      <c r="J89">
        <v>116</v>
      </c>
      <c r="K89">
        <v>120</v>
      </c>
      <c r="L89">
        <v>1</v>
      </c>
      <c r="M89">
        <v>2017</v>
      </c>
      <c r="N89">
        <v>3</v>
      </c>
      <c r="O89">
        <v>0</v>
      </c>
      <c r="P89">
        <v>1</v>
      </c>
      <c r="Q89" s="2" t="s">
        <v>17</v>
      </c>
    </row>
    <row r="90" spans="1:17" x14ac:dyDescent="0.3">
      <c r="A90" s="1">
        <v>42815</v>
      </c>
      <c r="B90" s="3">
        <v>119</v>
      </c>
      <c r="C90" s="3">
        <v>119</v>
      </c>
      <c r="D90" s="3">
        <v>118</v>
      </c>
      <c r="E90" s="3">
        <v>118</v>
      </c>
      <c r="F90" s="4">
        <v>9567900</v>
      </c>
      <c r="G90" s="3">
        <v>119</v>
      </c>
      <c r="H90">
        <v>1</v>
      </c>
      <c r="I90">
        <v>117</v>
      </c>
      <c r="J90">
        <v>116</v>
      </c>
      <c r="K90">
        <v>120</v>
      </c>
      <c r="L90">
        <v>1</v>
      </c>
      <c r="M90">
        <v>2017</v>
      </c>
      <c r="N90">
        <v>3</v>
      </c>
      <c r="O90">
        <v>1</v>
      </c>
      <c r="P90">
        <v>1</v>
      </c>
      <c r="Q90" s="2" t="s">
        <v>17</v>
      </c>
    </row>
    <row r="91" spans="1:17" x14ac:dyDescent="0.3">
      <c r="A91" s="1">
        <v>42816</v>
      </c>
      <c r="B91" s="3">
        <v>119</v>
      </c>
      <c r="C91" s="3">
        <v>119</v>
      </c>
      <c r="D91" s="3">
        <v>119</v>
      </c>
      <c r="E91" s="3">
        <v>119</v>
      </c>
      <c r="F91" s="4">
        <v>7287400</v>
      </c>
      <c r="G91" s="3">
        <v>119</v>
      </c>
      <c r="H91">
        <v>0</v>
      </c>
      <c r="I91">
        <v>117</v>
      </c>
      <c r="J91">
        <v>116</v>
      </c>
      <c r="K91">
        <v>120</v>
      </c>
      <c r="L91">
        <v>1</v>
      </c>
      <c r="M91">
        <v>2017</v>
      </c>
      <c r="N91">
        <v>3</v>
      </c>
      <c r="O91">
        <v>2</v>
      </c>
      <c r="P91">
        <v>1</v>
      </c>
      <c r="Q91" s="2" t="s">
        <v>17</v>
      </c>
    </row>
    <row r="92" spans="1:17" x14ac:dyDescent="0.3">
      <c r="A92" s="1">
        <v>42817</v>
      </c>
      <c r="B92" s="3">
        <v>119</v>
      </c>
      <c r="C92" s="3">
        <v>119</v>
      </c>
      <c r="D92" s="3">
        <v>118</v>
      </c>
      <c r="E92" s="3">
        <v>119</v>
      </c>
      <c r="F92" s="4">
        <v>6201100</v>
      </c>
      <c r="G92" s="3">
        <v>119</v>
      </c>
      <c r="H92">
        <v>0</v>
      </c>
      <c r="I92">
        <v>117</v>
      </c>
      <c r="J92">
        <v>116</v>
      </c>
      <c r="K92">
        <v>120</v>
      </c>
      <c r="L92">
        <v>1</v>
      </c>
      <c r="M92">
        <v>2017</v>
      </c>
      <c r="N92">
        <v>3</v>
      </c>
      <c r="O92">
        <v>3</v>
      </c>
      <c r="P92">
        <v>1</v>
      </c>
      <c r="Q92" s="2" t="s">
        <v>17</v>
      </c>
    </row>
    <row r="93" spans="1:17" x14ac:dyDescent="0.3">
      <c r="A93" s="1">
        <v>42818</v>
      </c>
      <c r="B93" s="3">
        <v>119</v>
      </c>
      <c r="C93" s="3">
        <v>119</v>
      </c>
      <c r="D93" s="3">
        <v>118</v>
      </c>
      <c r="E93" s="3">
        <v>119</v>
      </c>
      <c r="F93" s="4">
        <v>6879600</v>
      </c>
      <c r="G93" s="3">
        <v>119</v>
      </c>
      <c r="H93">
        <v>0</v>
      </c>
      <c r="I93">
        <v>117</v>
      </c>
      <c r="J93">
        <v>117</v>
      </c>
      <c r="K93">
        <v>120</v>
      </c>
      <c r="L93">
        <v>1</v>
      </c>
      <c r="M93">
        <v>2017</v>
      </c>
      <c r="N93">
        <v>3</v>
      </c>
      <c r="O93">
        <v>4</v>
      </c>
      <c r="P93">
        <v>1</v>
      </c>
      <c r="Q93" s="2" t="s">
        <v>17</v>
      </c>
    </row>
    <row r="94" spans="1:17" x14ac:dyDescent="0.3">
      <c r="A94" s="1">
        <v>42821</v>
      </c>
      <c r="B94" s="3">
        <v>120</v>
      </c>
      <c r="C94" s="3">
        <v>120</v>
      </c>
      <c r="D94" s="3">
        <v>119</v>
      </c>
      <c r="E94" s="3">
        <v>120</v>
      </c>
      <c r="F94" s="4">
        <v>8519600</v>
      </c>
      <c r="G94" s="3">
        <v>120</v>
      </c>
      <c r="H94">
        <v>1</v>
      </c>
      <c r="I94">
        <v>117</v>
      </c>
      <c r="J94">
        <v>117</v>
      </c>
      <c r="K94">
        <v>120</v>
      </c>
      <c r="L94">
        <v>1</v>
      </c>
      <c r="M94">
        <v>2017</v>
      </c>
      <c r="N94">
        <v>3</v>
      </c>
      <c r="O94">
        <v>0</v>
      </c>
      <c r="P94">
        <v>1</v>
      </c>
      <c r="Q94" s="2" t="s">
        <v>17</v>
      </c>
    </row>
    <row r="95" spans="1:17" x14ac:dyDescent="0.3">
      <c r="A95" s="1">
        <v>42822</v>
      </c>
      <c r="B95" s="3">
        <v>119</v>
      </c>
      <c r="C95" s="3">
        <v>120</v>
      </c>
      <c r="D95" s="3">
        <v>119</v>
      </c>
      <c r="E95" s="3">
        <v>120</v>
      </c>
      <c r="F95" s="4">
        <v>7112800</v>
      </c>
      <c r="G95" s="3">
        <v>119</v>
      </c>
      <c r="H95">
        <v>0</v>
      </c>
      <c r="I95">
        <v>117</v>
      </c>
      <c r="J95">
        <v>117</v>
      </c>
      <c r="K95">
        <v>120</v>
      </c>
      <c r="L95">
        <v>1</v>
      </c>
      <c r="M95">
        <v>2017</v>
      </c>
      <c r="N95">
        <v>3</v>
      </c>
      <c r="O95">
        <v>1</v>
      </c>
      <c r="P95">
        <v>1</v>
      </c>
      <c r="Q95" s="2" t="s">
        <v>17</v>
      </c>
    </row>
    <row r="96" spans="1:17" x14ac:dyDescent="0.3">
      <c r="A96" s="1">
        <v>42823</v>
      </c>
      <c r="B96" s="3">
        <v>119</v>
      </c>
      <c r="C96" s="3">
        <v>119</v>
      </c>
      <c r="D96" s="3">
        <v>119</v>
      </c>
      <c r="E96" s="3">
        <v>119</v>
      </c>
      <c r="F96" s="4">
        <v>4911000</v>
      </c>
      <c r="G96" s="3">
        <v>119</v>
      </c>
      <c r="H96">
        <v>0</v>
      </c>
      <c r="I96">
        <v>117</v>
      </c>
      <c r="J96">
        <v>117</v>
      </c>
      <c r="K96">
        <v>120</v>
      </c>
      <c r="L96">
        <v>1</v>
      </c>
      <c r="M96">
        <v>2017</v>
      </c>
      <c r="N96">
        <v>3</v>
      </c>
      <c r="O96">
        <v>2</v>
      </c>
      <c r="P96">
        <v>1</v>
      </c>
      <c r="Q96" s="2" t="s">
        <v>17</v>
      </c>
    </row>
    <row r="97" spans="1:17" x14ac:dyDescent="0.3">
      <c r="A97" s="1">
        <v>42824</v>
      </c>
      <c r="B97" s="3">
        <v>118</v>
      </c>
      <c r="C97" s="3">
        <v>119</v>
      </c>
      <c r="D97" s="3">
        <v>118</v>
      </c>
      <c r="E97" s="3">
        <v>119</v>
      </c>
      <c r="F97" s="4">
        <v>6894600</v>
      </c>
      <c r="G97" s="3">
        <v>118</v>
      </c>
      <c r="H97">
        <v>-1</v>
      </c>
      <c r="I97">
        <v>117</v>
      </c>
      <c r="J97">
        <v>117</v>
      </c>
      <c r="K97">
        <v>120</v>
      </c>
      <c r="L97">
        <v>1</v>
      </c>
      <c r="M97">
        <v>2017</v>
      </c>
      <c r="N97">
        <v>3</v>
      </c>
      <c r="O97">
        <v>3</v>
      </c>
      <c r="P97">
        <v>1</v>
      </c>
      <c r="Q97" s="2" t="s">
        <v>17</v>
      </c>
    </row>
    <row r="98" spans="1:17" x14ac:dyDescent="0.3">
      <c r="A98" s="1">
        <v>42825</v>
      </c>
      <c r="B98" s="3">
        <v>119</v>
      </c>
      <c r="C98" s="3">
        <v>119</v>
      </c>
      <c r="D98" s="3">
        <v>118</v>
      </c>
      <c r="E98" s="3">
        <v>119</v>
      </c>
      <c r="F98" s="4">
        <v>8520800</v>
      </c>
      <c r="G98" s="3">
        <v>119</v>
      </c>
      <c r="H98">
        <v>0</v>
      </c>
      <c r="I98">
        <v>117</v>
      </c>
      <c r="J98">
        <v>117</v>
      </c>
      <c r="K98">
        <v>120</v>
      </c>
      <c r="L98">
        <v>1</v>
      </c>
      <c r="M98">
        <v>2017</v>
      </c>
      <c r="N98">
        <v>3</v>
      </c>
      <c r="O98">
        <v>4</v>
      </c>
      <c r="P98">
        <v>1</v>
      </c>
      <c r="Q98" s="2" t="s">
        <v>17</v>
      </c>
    </row>
    <row r="99" spans="1:17" x14ac:dyDescent="0.3">
      <c r="A99" s="1">
        <v>42828</v>
      </c>
      <c r="B99" s="3">
        <v>119</v>
      </c>
      <c r="C99" s="3">
        <v>119</v>
      </c>
      <c r="D99" s="3">
        <v>119</v>
      </c>
      <c r="E99" s="3">
        <v>119</v>
      </c>
      <c r="F99" s="4">
        <v>6105700</v>
      </c>
      <c r="G99" s="3">
        <v>119</v>
      </c>
      <c r="H99">
        <v>1</v>
      </c>
      <c r="I99">
        <v>117</v>
      </c>
      <c r="J99">
        <v>117</v>
      </c>
      <c r="K99">
        <v>120</v>
      </c>
      <c r="L99">
        <v>1</v>
      </c>
      <c r="M99">
        <v>2017</v>
      </c>
      <c r="N99">
        <v>4</v>
      </c>
      <c r="O99">
        <v>0</v>
      </c>
      <c r="P99">
        <v>2</v>
      </c>
      <c r="Q99" s="2" t="s">
        <v>17</v>
      </c>
    </row>
    <row r="100" spans="1:17" x14ac:dyDescent="0.3">
      <c r="A100" s="1">
        <v>42829</v>
      </c>
      <c r="B100" s="3">
        <v>120</v>
      </c>
      <c r="C100" s="3">
        <v>120</v>
      </c>
      <c r="D100" s="3">
        <v>119</v>
      </c>
      <c r="E100" s="3">
        <v>120</v>
      </c>
      <c r="F100" s="4">
        <v>4687300</v>
      </c>
      <c r="G100" s="3">
        <v>120</v>
      </c>
      <c r="H100">
        <v>0</v>
      </c>
      <c r="I100">
        <v>117</v>
      </c>
      <c r="J100">
        <v>117</v>
      </c>
      <c r="K100">
        <v>120</v>
      </c>
      <c r="L100">
        <v>1</v>
      </c>
      <c r="M100">
        <v>2017</v>
      </c>
      <c r="N100">
        <v>4</v>
      </c>
      <c r="O100">
        <v>1</v>
      </c>
      <c r="P100">
        <v>2</v>
      </c>
      <c r="Q100" s="2" t="s">
        <v>17</v>
      </c>
    </row>
    <row r="101" spans="1:17" x14ac:dyDescent="0.3">
      <c r="A101" s="1">
        <v>42830</v>
      </c>
      <c r="B101" s="3">
        <v>120</v>
      </c>
      <c r="C101" s="3">
        <v>120</v>
      </c>
      <c r="D101" s="3">
        <v>118</v>
      </c>
      <c r="E101" s="3">
        <v>119</v>
      </c>
      <c r="F101" s="4">
        <v>8106000</v>
      </c>
      <c r="G101" s="3">
        <v>120</v>
      </c>
      <c r="H101">
        <v>0</v>
      </c>
      <c r="I101">
        <v>118</v>
      </c>
      <c r="J101">
        <v>117</v>
      </c>
      <c r="K101">
        <v>120</v>
      </c>
      <c r="L101">
        <v>1</v>
      </c>
      <c r="M101">
        <v>2017</v>
      </c>
      <c r="N101">
        <v>4</v>
      </c>
      <c r="O101">
        <v>2</v>
      </c>
      <c r="P101">
        <v>2</v>
      </c>
      <c r="Q101" s="2" t="s">
        <v>17</v>
      </c>
    </row>
    <row r="102" spans="1:17" x14ac:dyDescent="0.3">
      <c r="A102" s="1">
        <v>42831</v>
      </c>
      <c r="B102" s="3">
        <v>119</v>
      </c>
      <c r="C102" s="3">
        <v>119</v>
      </c>
      <c r="D102" s="3">
        <v>119</v>
      </c>
      <c r="E102" s="3">
        <v>119</v>
      </c>
      <c r="F102" s="4">
        <v>4633500</v>
      </c>
      <c r="G102" s="3">
        <v>119</v>
      </c>
      <c r="H102">
        <v>0</v>
      </c>
      <c r="I102">
        <v>118</v>
      </c>
      <c r="J102">
        <v>117</v>
      </c>
      <c r="K102">
        <v>120</v>
      </c>
      <c r="L102">
        <v>1</v>
      </c>
      <c r="M102">
        <v>2017</v>
      </c>
      <c r="N102">
        <v>4</v>
      </c>
      <c r="O102">
        <v>3</v>
      </c>
      <c r="P102">
        <v>2</v>
      </c>
      <c r="Q102" s="2" t="s">
        <v>17</v>
      </c>
    </row>
    <row r="103" spans="1:17" x14ac:dyDescent="0.3">
      <c r="A103" s="1">
        <v>42832</v>
      </c>
      <c r="B103" s="3">
        <v>119</v>
      </c>
      <c r="C103" s="3">
        <v>121</v>
      </c>
      <c r="D103" s="3">
        <v>119</v>
      </c>
      <c r="E103" s="3">
        <v>120</v>
      </c>
      <c r="F103" s="4">
        <v>12351100</v>
      </c>
      <c r="G103" s="3">
        <v>119</v>
      </c>
      <c r="H103">
        <v>0</v>
      </c>
      <c r="I103">
        <v>118</v>
      </c>
      <c r="J103">
        <v>117</v>
      </c>
      <c r="K103">
        <v>120</v>
      </c>
      <c r="L103">
        <v>1</v>
      </c>
      <c r="M103">
        <v>2017</v>
      </c>
      <c r="N103">
        <v>4</v>
      </c>
      <c r="O103">
        <v>4</v>
      </c>
      <c r="P103">
        <v>2</v>
      </c>
      <c r="Q103" s="2" t="s">
        <v>17</v>
      </c>
    </row>
    <row r="104" spans="1:17" x14ac:dyDescent="0.3">
      <c r="A104" s="1">
        <v>42835</v>
      </c>
      <c r="B104" s="3">
        <v>119</v>
      </c>
      <c r="C104" s="3">
        <v>120</v>
      </c>
      <c r="D104" s="3">
        <v>119</v>
      </c>
      <c r="E104" s="3">
        <v>119</v>
      </c>
      <c r="F104" s="4">
        <v>4623700</v>
      </c>
      <c r="G104" s="3">
        <v>119</v>
      </c>
      <c r="H104">
        <v>0</v>
      </c>
      <c r="I104">
        <v>118</v>
      </c>
      <c r="J104">
        <v>118</v>
      </c>
      <c r="K104">
        <v>120</v>
      </c>
      <c r="L104">
        <v>1</v>
      </c>
      <c r="M104">
        <v>2017</v>
      </c>
      <c r="N104">
        <v>4</v>
      </c>
      <c r="O104">
        <v>0</v>
      </c>
      <c r="P104">
        <v>2</v>
      </c>
      <c r="Q104" s="2" t="s">
        <v>17</v>
      </c>
    </row>
    <row r="105" spans="1:17" x14ac:dyDescent="0.3">
      <c r="A105" s="1">
        <v>42836</v>
      </c>
      <c r="B105" s="3">
        <v>121</v>
      </c>
      <c r="C105" s="3">
        <v>121</v>
      </c>
      <c r="D105" s="3">
        <v>120</v>
      </c>
      <c r="E105" s="3">
        <v>120</v>
      </c>
      <c r="F105" s="4">
        <v>12455300</v>
      </c>
      <c r="G105" s="3">
        <v>121</v>
      </c>
      <c r="H105">
        <v>1</v>
      </c>
      <c r="I105">
        <v>119</v>
      </c>
      <c r="J105">
        <v>118</v>
      </c>
      <c r="K105">
        <v>120</v>
      </c>
      <c r="L105">
        <v>1</v>
      </c>
      <c r="M105">
        <v>2017</v>
      </c>
      <c r="N105">
        <v>4</v>
      </c>
      <c r="O105">
        <v>1</v>
      </c>
      <c r="P105">
        <v>2</v>
      </c>
      <c r="Q105" s="2" t="s">
        <v>17</v>
      </c>
    </row>
    <row r="106" spans="1:17" x14ac:dyDescent="0.3">
      <c r="A106" s="1">
        <v>42837</v>
      </c>
      <c r="B106" s="3">
        <v>122</v>
      </c>
      <c r="C106" s="3">
        <v>122</v>
      </c>
      <c r="D106" s="3">
        <v>121</v>
      </c>
      <c r="E106" s="3">
        <v>121</v>
      </c>
      <c r="F106" s="4">
        <v>9502500</v>
      </c>
      <c r="G106" s="3">
        <v>122</v>
      </c>
      <c r="H106">
        <v>1</v>
      </c>
      <c r="I106">
        <v>119</v>
      </c>
      <c r="J106">
        <v>118</v>
      </c>
      <c r="K106">
        <v>120</v>
      </c>
      <c r="L106">
        <v>0</v>
      </c>
      <c r="M106">
        <v>2017</v>
      </c>
      <c r="N106">
        <v>4</v>
      </c>
      <c r="O106">
        <v>2</v>
      </c>
      <c r="P106">
        <v>2</v>
      </c>
      <c r="Q106" s="2" t="s">
        <v>17</v>
      </c>
    </row>
    <row r="107" spans="1:17" x14ac:dyDescent="0.3">
      <c r="A107" s="1">
        <v>42838</v>
      </c>
      <c r="B107" s="3">
        <v>123</v>
      </c>
      <c r="C107" s="3">
        <v>123</v>
      </c>
      <c r="D107" s="3">
        <v>122</v>
      </c>
      <c r="E107" s="3">
        <v>123</v>
      </c>
      <c r="F107" s="4">
        <v>9892600</v>
      </c>
      <c r="G107" s="3">
        <v>123</v>
      </c>
      <c r="H107">
        <v>0</v>
      </c>
      <c r="I107">
        <v>119</v>
      </c>
      <c r="J107">
        <v>118</v>
      </c>
      <c r="K107">
        <v>120</v>
      </c>
      <c r="L107">
        <v>0</v>
      </c>
      <c r="M107">
        <v>2017</v>
      </c>
      <c r="N107">
        <v>4</v>
      </c>
      <c r="O107">
        <v>3</v>
      </c>
      <c r="P107">
        <v>2</v>
      </c>
      <c r="Q107" s="2" t="s">
        <v>17</v>
      </c>
    </row>
    <row r="108" spans="1:17" x14ac:dyDescent="0.3">
      <c r="A108" s="1">
        <v>42842</v>
      </c>
      <c r="B108" s="3">
        <v>122</v>
      </c>
      <c r="C108" s="3">
        <v>123</v>
      </c>
      <c r="D108" s="3">
        <v>122</v>
      </c>
      <c r="E108" s="3">
        <v>123</v>
      </c>
      <c r="F108" s="4">
        <v>8469600</v>
      </c>
      <c r="G108" s="3">
        <v>122</v>
      </c>
      <c r="H108">
        <v>0</v>
      </c>
      <c r="I108">
        <v>120</v>
      </c>
      <c r="J108">
        <v>118</v>
      </c>
      <c r="K108">
        <v>120</v>
      </c>
      <c r="L108">
        <v>0</v>
      </c>
      <c r="M108">
        <v>2017</v>
      </c>
      <c r="N108">
        <v>4</v>
      </c>
      <c r="O108">
        <v>0</v>
      </c>
      <c r="P108">
        <v>2</v>
      </c>
      <c r="Q108" s="2" t="s">
        <v>17</v>
      </c>
    </row>
    <row r="109" spans="1:17" x14ac:dyDescent="0.3">
      <c r="A109" s="1">
        <v>42843</v>
      </c>
      <c r="B109" s="3">
        <v>123</v>
      </c>
      <c r="C109" s="3">
        <v>123</v>
      </c>
      <c r="D109" s="3">
        <v>122</v>
      </c>
      <c r="E109" s="3">
        <v>122</v>
      </c>
      <c r="F109" s="4">
        <v>10903700</v>
      </c>
      <c r="G109" s="3">
        <v>123</v>
      </c>
      <c r="H109">
        <v>0</v>
      </c>
      <c r="I109">
        <v>120</v>
      </c>
      <c r="J109">
        <v>118</v>
      </c>
      <c r="K109">
        <v>120</v>
      </c>
      <c r="L109">
        <v>0</v>
      </c>
      <c r="M109">
        <v>2017</v>
      </c>
      <c r="N109">
        <v>4</v>
      </c>
      <c r="O109">
        <v>1</v>
      </c>
      <c r="P109">
        <v>2</v>
      </c>
      <c r="Q109" s="2" t="s">
        <v>17</v>
      </c>
    </row>
    <row r="110" spans="1:17" x14ac:dyDescent="0.3">
      <c r="A110" s="1">
        <v>42844</v>
      </c>
      <c r="B110" s="3">
        <v>122</v>
      </c>
      <c r="C110" s="3">
        <v>122</v>
      </c>
      <c r="D110" s="3">
        <v>121</v>
      </c>
      <c r="E110" s="3">
        <v>122</v>
      </c>
      <c r="F110" s="4">
        <v>8472700</v>
      </c>
      <c r="G110" s="3">
        <v>122</v>
      </c>
      <c r="H110">
        <v>-1</v>
      </c>
      <c r="I110">
        <v>120</v>
      </c>
      <c r="J110">
        <v>118</v>
      </c>
      <c r="K110">
        <v>120</v>
      </c>
      <c r="L110">
        <v>1</v>
      </c>
      <c r="M110">
        <v>2017</v>
      </c>
      <c r="N110">
        <v>4</v>
      </c>
      <c r="O110">
        <v>2</v>
      </c>
      <c r="P110">
        <v>2</v>
      </c>
      <c r="Q110" s="2" t="s">
        <v>17</v>
      </c>
    </row>
    <row r="111" spans="1:17" x14ac:dyDescent="0.3">
      <c r="A111" s="1">
        <v>42845</v>
      </c>
      <c r="B111" s="3">
        <v>122</v>
      </c>
      <c r="C111" s="3">
        <v>122</v>
      </c>
      <c r="D111" s="3">
        <v>122</v>
      </c>
      <c r="E111" s="3">
        <v>122</v>
      </c>
      <c r="F111" s="4">
        <v>11787300</v>
      </c>
      <c r="G111" s="3">
        <v>122</v>
      </c>
      <c r="H111">
        <v>0</v>
      </c>
      <c r="I111">
        <v>120</v>
      </c>
      <c r="J111">
        <v>118</v>
      </c>
      <c r="K111">
        <v>120</v>
      </c>
      <c r="L111">
        <v>1</v>
      </c>
      <c r="M111">
        <v>2017</v>
      </c>
      <c r="N111">
        <v>4</v>
      </c>
      <c r="O111">
        <v>3</v>
      </c>
      <c r="P111">
        <v>2</v>
      </c>
      <c r="Q111" s="2" t="s">
        <v>17</v>
      </c>
    </row>
    <row r="112" spans="1:17" x14ac:dyDescent="0.3">
      <c r="A112" s="1">
        <v>42846</v>
      </c>
      <c r="B112" s="3">
        <v>122</v>
      </c>
      <c r="C112" s="3">
        <v>123</v>
      </c>
      <c r="D112" s="3">
        <v>122</v>
      </c>
      <c r="E112" s="3">
        <v>122</v>
      </c>
      <c r="F112" s="4">
        <v>15608000</v>
      </c>
      <c r="G112" s="3">
        <v>122</v>
      </c>
      <c r="H112">
        <v>0</v>
      </c>
      <c r="I112">
        <v>120</v>
      </c>
      <c r="J112">
        <v>119</v>
      </c>
      <c r="K112">
        <v>120</v>
      </c>
      <c r="L112">
        <v>1</v>
      </c>
      <c r="M112">
        <v>2017</v>
      </c>
      <c r="N112">
        <v>4</v>
      </c>
      <c r="O112">
        <v>4</v>
      </c>
      <c r="P112">
        <v>2</v>
      </c>
      <c r="Q112" s="2" t="s">
        <v>17</v>
      </c>
    </row>
    <row r="113" spans="1:17" x14ac:dyDescent="0.3">
      <c r="A113" s="1">
        <v>42849</v>
      </c>
      <c r="B113" s="3">
        <v>121</v>
      </c>
      <c r="C113" s="3">
        <v>122</v>
      </c>
      <c r="D113" s="3">
        <v>121</v>
      </c>
      <c r="E113" s="3">
        <v>121</v>
      </c>
      <c r="F113" s="4">
        <v>11053600</v>
      </c>
      <c r="G113" s="3">
        <v>121</v>
      </c>
      <c r="H113">
        <v>-1</v>
      </c>
      <c r="I113">
        <v>121</v>
      </c>
      <c r="J113">
        <v>119</v>
      </c>
      <c r="K113">
        <v>120</v>
      </c>
      <c r="L113">
        <v>1</v>
      </c>
      <c r="M113">
        <v>2017</v>
      </c>
      <c r="N113">
        <v>4</v>
      </c>
      <c r="O113">
        <v>0</v>
      </c>
      <c r="P113">
        <v>2</v>
      </c>
      <c r="Q113" s="2" t="s">
        <v>17</v>
      </c>
    </row>
    <row r="114" spans="1:17" x14ac:dyDescent="0.3">
      <c r="A114" s="1">
        <v>42850</v>
      </c>
      <c r="B114" s="3">
        <v>120</v>
      </c>
      <c r="C114" s="3">
        <v>121</v>
      </c>
      <c r="D114" s="3">
        <v>120</v>
      </c>
      <c r="E114" s="3">
        <v>121</v>
      </c>
      <c r="F114" s="4">
        <v>10344800</v>
      </c>
      <c r="G114" s="3">
        <v>120</v>
      </c>
      <c r="H114">
        <v>-1</v>
      </c>
      <c r="I114">
        <v>121</v>
      </c>
      <c r="J114">
        <v>119</v>
      </c>
      <c r="K114">
        <v>120</v>
      </c>
      <c r="L114">
        <v>1</v>
      </c>
      <c r="M114">
        <v>2017</v>
      </c>
      <c r="N114">
        <v>4</v>
      </c>
      <c r="O114">
        <v>1</v>
      </c>
      <c r="P114">
        <v>2</v>
      </c>
      <c r="Q114" s="2" t="s">
        <v>17</v>
      </c>
    </row>
    <row r="115" spans="1:17" x14ac:dyDescent="0.3">
      <c r="A115" s="1">
        <v>42851</v>
      </c>
      <c r="B115" s="3">
        <v>121</v>
      </c>
      <c r="C115" s="3">
        <v>121</v>
      </c>
      <c r="D115" s="3">
        <v>120</v>
      </c>
      <c r="E115" s="3">
        <v>120</v>
      </c>
      <c r="F115" s="4">
        <v>9758800</v>
      </c>
      <c r="G115" s="3">
        <v>121</v>
      </c>
      <c r="H115">
        <v>0</v>
      </c>
      <c r="I115">
        <v>121</v>
      </c>
      <c r="J115">
        <v>119</v>
      </c>
      <c r="K115">
        <v>120</v>
      </c>
      <c r="L115">
        <v>1</v>
      </c>
      <c r="M115">
        <v>2017</v>
      </c>
      <c r="N115">
        <v>4</v>
      </c>
      <c r="O115">
        <v>2</v>
      </c>
      <c r="P115">
        <v>2</v>
      </c>
      <c r="Q115" s="2" t="s">
        <v>17</v>
      </c>
    </row>
    <row r="116" spans="1:17" x14ac:dyDescent="0.3">
      <c r="A116" s="1">
        <v>42852</v>
      </c>
      <c r="B116" s="3">
        <v>120</v>
      </c>
      <c r="C116" s="3">
        <v>121</v>
      </c>
      <c r="D116" s="3">
        <v>120</v>
      </c>
      <c r="E116" s="3">
        <v>120</v>
      </c>
      <c r="F116" s="4">
        <v>8267000</v>
      </c>
      <c r="G116" s="3">
        <v>120</v>
      </c>
      <c r="H116">
        <v>0</v>
      </c>
      <c r="I116">
        <v>121</v>
      </c>
      <c r="J116">
        <v>119</v>
      </c>
      <c r="K116">
        <v>120</v>
      </c>
      <c r="L116">
        <v>1</v>
      </c>
      <c r="M116">
        <v>2017</v>
      </c>
      <c r="N116">
        <v>4</v>
      </c>
      <c r="O116">
        <v>3</v>
      </c>
      <c r="P116">
        <v>2</v>
      </c>
      <c r="Q116" s="2" t="s">
        <v>17</v>
      </c>
    </row>
    <row r="117" spans="1:17" x14ac:dyDescent="0.3">
      <c r="A117" s="1">
        <v>42853</v>
      </c>
      <c r="B117" s="3">
        <v>121</v>
      </c>
      <c r="C117" s="3">
        <v>121</v>
      </c>
      <c r="D117" s="3">
        <v>120</v>
      </c>
      <c r="E117" s="3">
        <v>120</v>
      </c>
      <c r="F117" s="4">
        <v>9134200</v>
      </c>
      <c r="G117" s="3">
        <v>121</v>
      </c>
      <c r="H117">
        <v>0</v>
      </c>
      <c r="I117">
        <v>121</v>
      </c>
      <c r="J117">
        <v>119</v>
      </c>
      <c r="K117">
        <v>120</v>
      </c>
      <c r="L117">
        <v>1</v>
      </c>
      <c r="M117">
        <v>2017</v>
      </c>
      <c r="N117">
        <v>4</v>
      </c>
      <c r="O117">
        <v>4</v>
      </c>
      <c r="P117">
        <v>2</v>
      </c>
      <c r="Q117" s="2" t="s">
        <v>17</v>
      </c>
    </row>
    <row r="118" spans="1:17" x14ac:dyDescent="0.3">
      <c r="A118" s="1">
        <v>42856</v>
      </c>
      <c r="B118" s="3">
        <v>120</v>
      </c>
      <c r="C118" s="3">
        <v>121</v>
      </c>
      <c r="D118" s="3">
        <v>119</v>
      </c>
      <c r="E118" s="3">
        <v>120</v>
      </c>
      <c r="F118" s="4">
        <v>9331800</v>
      </c>
      <c r="G118" s="3">
        <v>120</v>
      </c>
      <c r="H118">
        <v>-1</v>
      </c>
      <c r="I118">
        <v>121</v>
      </c>
      <c r="J118">
        <v>119</v>
      </c>
      <c r="K118">
        <v>120</v>
      </c>
      <c r="L118">
        <v>1</v>
      </c>
      <c r="M118">
        <v>2017</v>
      </c>
      <c r="N118">
        <v>5</v>
      </c>
      <c r="O118">
        <v>0</v>
      </c>
      <c r="P118">
        <v>2</v>
      </c>
      <c r="Q118" s="2" t="s">
        <v>17</v>
      </c>
    </row>
    <row r="119" spans="1:17" x14ac:dyDescent="0.3">
      <c r="A119" s="1">
        <v>42857</v>
      </c>
      <c r="B119" s="3">
        <v>120</v>
      </c>
      <c r="C119" s="3">
        <v>120</v>
      </c>
      <c r="D119" s="3">
        <v>119</v>
      </c>
      <c r="E119" s="3">
        <v>119</v>
      </c>
      <c r="F119" s="4">
        <v>4900800</v>
      </c>
      <c r="G119" s="3">
        <v>120</v>
      </c>
      <c r="H119">
        <v>0</v>
      </c>
      <c r="I119">
        <v>121</v>
      </c>
      <c r="J119">
        <v>119</v>
      </c>
      <c r="K119">
        <v>120</v>
      </c>
      <c r="L119">
        <v>1</v>
      </c>
      <c r="M119">
        <v>2017</v>
      </c>
      <c r="N119">
        <v>5</v>
      </c>
      <c r="O119">
        <v>1</v>
      </c>
      <c r="P119">
        <v>2</v>
      </c>
      <c r="Q119" s="2" t="s">
        <v>17</v>
      </c>
    </row>
    <row r="120" spans="1:17" x14ac:dyDescent="0.3">
      <c r="A120" s="1">
        <v>42858</v>
      </c>
      <c r="B120" s="3">
        <v>118</v>
      </c>
      <c r="C120" s="3">
        <v>119</v>
      </c>
      <c r="D120" s="3">
        <v>118</v>
      </c>
      <c r="E120" s="3">
        <v>119</v>
      </c>
      <c r="F120" s="4">
        <v>10811100</v>
      </c>
      <c r="G120" s="3">
        <v>118</v>
      </c>
      <c r="H120">
        <v>-1</v>
      </c>
      <c r="I120">
        <v>121</v>
      </c>
      <c r="J120">
        <v>119</v>
      </c>
      <c r="K120">
        <v>120</v>
      </c>
      <c r="L120">
        <v>1</v>
      </c>
      <c r="M120">
        <v>2017</v>
      </c>
      <c r="N120">
        <v>5</v>
      </c>
      <c r="O120">
        <v>2</v>
      </c>
      <c r="P120">
        <v>2</v>
      </c>
      <c r="Q120" s="2" t="s">
        <v>17</v>
      </c>
    </row>
    <row r="121" spans="1:17" x14ac:dyDescent="0.3">
      <c r="A121" s="1">
        <v>42859</v>
      </c>
      <c r="B121" s="3">
        <v>117</v>
      </c>
      <c r="C121" s="3">
        <v>117</v>
      </c>
      <c r="D121" s="3">
        <v>117</v>
      </c>
      <c r="E121" s="3">
        <v>117</v>
      </c>
      <c r="F121" s="4">
        <v>12406900</v>
      </c>
      <c r="G121" s="3">
        <v>117</v>
      </c>
      <c r="H121">
        <v>-1</v>
      </c>
      <c r="I121">
        <v>121</v>
      </c>
      <c r="J121">
        <v>119</v>
      </c>
      <c r="K121">
        <v>120</v>
      </c>
      <c r="L121">
        <v>1</v>
      </c>
      <c r="M121">
        <v>2017</v>
      </c>
      <c r="N121">
        <v>5</v>
      </c>
      <c r="O121">
        <v>3</v>
      </c>
      <c r="P121">
        <v>2</v>
      </c>
      <c r="Q121" s="2" t="s">
        <v>17</v>
      </c>
    </row>
    <row r="122" spans="1:17" x14ac:dyDescent="0.3">
      <c r="A122" s="1">
        <v>42860</v>
      </c>
      <c r="B122" s="3">
        <v>117</v>
      </c>
      <c r="C122" s="3">
        <v>117</v>
      </c>
      <c r="D122" s="3">
        <v>117</v>
      </c>
      <c r="E122" s="3">
        <v>117</v>
      </c>
      <c r="F122" s="4">
        <v>7127200</v>
      </c>
      <c r="G122" s="3">
        <v>117</v>
      </c>
      <c r="H122">
        <v>0</v>
      </c>
      <c r="I122">
        <v>121</v>
      </c>
      <c r="J122">
        <v>119</v>
      </c>
      <c r="K122">
        <v>119</v>
      </c>
      <c r="L122">
        <v>1</v>
      </c>
      <c r="M122">
        <v>2017</v>
      </c>
      <c r="N122">
        <v>5</v>
      </c>
      <c r="O122">
        <v>4</v>
      </c>
      <c r="P122">
        <v>2</v>
      </c>
      <c r="Q122" s="2" t="s">
        <v>17</v>
      </c>
    </row>
    <row r="123" spans="1:17" x14ac:dyDescent="0.3">
      <c r="A123" s="1">
        <v>42863</v>
      </c>
      <c r="B123" s="3">
        <v>117</v>
      </c>
      <c r="C123" s="3">
        <v>117</v>
      </c>
      <c r="D123" s="3">
        <v>117</v>
      </c>
      <c r="E123" s="3">
        <v>117</v>
      </c>
      <c r="F123" s="4">
        <v>5438400</v>
      </c>
      <c r="G123" s="3">
        <v>117</v>
      </c>
      <c r="H123">
        <v>0</v>
      </c>
      <c r="I123">
        <v>120</v>
      </c>
      <c r="J123">
        <v>119</v>
      </c>
      <c r="K123">
        <v>119</v>
      </c>
      <c r="L123">
        <v>1</v>
      </c>
      <c r="M123">
        <v>2017</v>
      </c>
      <c r="N123">
        <v>5</v>
      </c>
      <c r="O123">
        <v>0</v>
      </c>
      <c r="P123">
        <v>2</v>
      </c>
      <c r="Q123" s="2" t="s">
        <v>17</v>
      </c>
    </row>
    <row r="124" spans="1:17" x14ac:dyDescent="0.3">
      <c r="A124" s="1">
        <v>42864</v>
      </c>
      <c r="B124" s="3">
        <v>116</v>
      </c>
      <c r="C124" s="3">
        <v>116</v>
      </c>
      <c r="D124" s="3">
        <v>116</v>
      </c>
      <c r="E124" s="3">
        <v>116</v>
      </c>
      <c r="F124" s="4">
        <v>6801300</v>
      </c>
      <c r="G124" s="3">
        <v>116</v>
      </c>
      <c r="H124">
        <v>-1</v>
      </c>
      <c r="I124">
        <v>120</v>
      </c>
      <c r="J124">
        <v>119</v>
      </c>
      <c r="K124">
        <v>119</v>
      </c>
      <c r="L124">
        <v>1</v>
      </c>
      <c r="M124">
        <v>2017</v>
      </c>
      <c r="N124">
        <v>5</v>
      </c>
      <c r="O124">
        <v>1</v>
      </c>
      <c r="P124">
        <v>2</v>
      </c>
      <c r="Q124" s="2" t="s">
        <v>17</v>
      </c>
    </row>
    <row r="125" spans="1:17" x14ac:dyDescent="0.3">
      <c r="A125" s="1">
        <v>42865</v>
      </c>
      <c r="B125" s="3">
        <v>116</v>
      </c>
      <c r="C125" s="3">
        <v>117</v>
      </c>
      <c r="D125" s="3">
        <v>116</v>
      </c>
      <c r="E125" s="3">
        <v>116</v>
      </c>
      <c r="F125" s="4">
        <v>4290500</v>
      </c>
      <c r="G125" s="3">
        <v>116</v>
      </c>
      <c r="H125">
        <v>0</v>
      </c>
      <c r="I125">
        <v>120</v>
      </c>
      <c r="J125">
        <v>119</v>
      </c>
      <c r="K125">
        <v>119</v>
      </c>
      <c r="L125">
        <v>1</v>
      </c>
      <c r="M125">
        <v>2017</v>
      </c>
      <c r="N125">
        <v>5</v>
      </c>
      <c r="O125">
        <v>2</v>
      </c>
      <c r="P125">
        <v>2</v>
      </c>
      <c r="Q125" s="2" t="s">
        <v>17</v>
      </c>
    </row>
    <row r="126" spans="1:17" x14ac:dyDescent="0.3">
      <c r="A126" s="1">
        <v>42866</v>
      </c>
      <c r="B126" s="3">
        <v>117</v>
      </c>
      <c r="C126" s="3">
        <v>117</v>
      </c>
      <c r="D126" s="3">
        <v>116</v>
      </c>
      <c r="E126" s="3">
        <v>116</v>
      </c>
      <c r="F126" s="4">
        <v>6274400</v>
      </c>
      <c r="G126" s="3">
        <v>117</v>
      </c>
      <c r="H126">
        <v>0</v>
      </c>
      <c r="I126">
        <v>120</v>
      </c>
      <c r="J126">
        <v>119</v>
      </c>
      <c r="K126">
        <v>119</v>
      </c>
      <c r="L126">
        <v>1</v>
      </c>
      <c r="M126">
        <v>2017</v>
      </c>
      <c r="N126">
        <v>5</v>
      </c>
      <c r="O126">
        <v>3</v>
      </c>
      <c r="P126">
        <v>2</v>
      </c>
      <c r="Q126" s="2" t="s">
        <v>17</v>
      </c>
    </row>
    <row r="127" spans="1:17" x14ac:dyDescent="0.3">
      <c r="A127" s="1">
        <v>42867</v>
      </c>
      <c r="B127" s="3">
        <v>117</v>
      </c>
      <c r="C127" s="3">
        <v>117</v>
      </c>
      <c r="D127" s="3">
        <v>117</v>
      </c>
      <c r="E127" s="3">
        <v>117</v>
      </c>
      <c r="F127" s="4">
        <v>5434500</v>
      </c>
      <c r="G127" s="3">
        <v>117</v>
      </c>
      <c r="H127">
        <v>0</v>
      </c>
      <c r="I127">
        <v>119</v>
      </c>
      <c r="J127">
        <v>119</v>
      </c>
      <c r="K127">
        <v>119</v>
      </c>
      <c r="L127">
        <v>1</v>
      </c>
      <c r="M127">
        <v>2017</v>
      </c>
      <c r="N127">
        <v>5</v>
      </c>
      <c r="O127">
        <v>4</v>
      </c>
      <c r="P127">
        <v>2</v>
      </c>
      <c r="Q127" s="2" t="s">
        <v>17</v>
      </c>
    </row>
    <row r="128" spans="1:17" x14ac:dyDescent="0.3">
      <c r="A128" s="1">
        <v>42870</v>
      </c>
      <c r="B128" s="3">
        <v>117</v>
      </c>
      <c r="C128" s="3">
        <v>118</v>
      </c>
      <c r="D128" s="3">
        <v>117</v>
      </c>
      <c r="E128" s="3">
        <v>118</v>
      </c>
      <c r="F128" s="4">
        <v>5019600</v>
      </c>
      <c r="G128" s="3">
        <v>117</v>
      </c>
      <c r="H128">
        <v>0</v>
      </c>
      <c r="I128">
        <v>119</v>
      </c>
      <c r="J128">
        <v>119</v>
      </c>
      <c r="K128">
        <v>119</v>
      </c>
      <c r="L128">
        <v>1</v>
      </c>
      <c r="M128">
        <v>2017</v>
      </c>
      <c r="N128">
        <v>5</v>
      </c>
      <c r="O128">
        <v>0</v>
      </c>
      <c r="P128">
        <v>2</v>
      </c>
      <c r="Q128" s="2" t="s">
        <v>17</v>
      </c>
    </row>
    <row r="129" spans="1:17" x14ac:dyDescent="0.3">
      <c r="A129" s="1">
        <v>42871</v>
      </c>
      <c r="B129" s="3">
        <v>118</v>
      </c>
      <c r="C129" s="3">
        <v>118</v>
      </c>
      <c r="D129" s="3">
        <v>117</v>
      </c>
      <c r="E129" s="3">
        <v>117</v>
      </c>
      <c r="F129" s="4">
        <v>4942800</v>
      </c>
      <c r="G129" s="3">
        <v>118</v>
      </c>
      <c r="H129">
        <v>0</v>
      </c>
      <c r="I129">
        <v>119</v>
      </c>
      <c r="J129">
        <v>119</v>
      </c>
      <c r="K129">
        <v>119</v>
      </c>
      <c r="L129">
        <v>1</v>
      </c>
      <c r="M129">
        <v>2017</v>
      </c>
      <c r="N129">
        <v>5</v>
      </c>
      <c r="O129">
        <v>1</v>
      </c>
      <c r="P129">
        <v>2</v>
      </c>
      <c r="Q129" s="2" t="s">
        <v>17</v>
      </c>
    </row>
    <row r="130" spans="1:17" x14ac:dyDescent="0.3">
      <c r="A130" s="1">
        <v>42872</v>
      </c>
      <c r="B130" s="3">
        <v>120</v>
      </c>
      <c r="C130" s="3">
        <v>120</v>
      </c>
      <c r="D130" s="3">
        <v>119</v>
      </c>
      <c r="E130" s="3">
        <v>119</v>
      </c>
      <c r="F130" s="4">
        <v>13936900</v>
      </c>
      <c r="G130" s="3">
        <v>120</v>
      </c>
      <c r="H130">
        <v>2</v>
      </c>
      <c r="I130">
        <v>119</v>
      </c>
      <c r="J130">
        <v>119</v>
      </c>
      <c r="K130">
        <v>119</v>
      </c>
      <c r="L130">
        <v>1</v>
      </c>
      <c r="M130">
        <v>2017</v>
      </c>
      <c r="N130">
        <v>5</v>
      </c>
      <c r="O130">
        <v>2</v>
      </c>
      <c r="P130">
        <v>2</v>
      </c>
      <c r="Q130" s="2" t="s">
        <v>17</v>
      </c>
    </row>
    <row r="131" spans="1:17" x14ac:dyDescent="0.3">
      <c r="A131" s="1">
        <v>42873</v>
      </c>
      <c r="B131" s="3">
        <v>119</v>
      </c>
      <c r="C131" s="3">
        <v>120</v>
      </c>
      <c r="D131" s="3">
        <v>119</v>
      </c>
      <c r="E131" s="3">
        <v>120</v>
      </c>
      <c r="F131" s="4">
        <v>10341100</v>
      </c>
      <c r="G131" s="3">
        <v>119</v>
      </c>
      <c r="H131">
        <v>-1</v>
      </c>
      <c r="I131">
        <v>119</v>
      </c>
      <c r="J131">
        <v>119</v>
      </c>
      <c r="K131">
        <v>119</v>
      </c>
      <c r="L131">
        <v>1</v>
      </c>
      <c r="M131">
        <v>2017</v>
      </c>
      <c r="N131">
        <v>5</v>
      </c>
      <c r="O131">
        <v>3</v>
      </c>
      <c r="P131">
        <v>2</v>
      </c>
      <c r="Q131" s="2" t="s">
        <v>17</v>
      </c>
    </row>
    <row r="132" spans="1:17" x14ac:dyDescent="0.3">
      <c r="A132" s="1">
        <v>42874</v>
      </c>
      <c r="B132" s="3">
        <v>119</v>
      </c>
      <c r="C132" s="3">
        <v>120</v>
      </c>
      <c r="D132" s="3">
        <v>119</v>
      </c>
      <c r="E132" s="3">
        <v>119</v>
      </c>
      <c r="F132" s="4">
        <v>6787300</v>
      </c>
      <c r="G132" s="3">
        <v>119</v>
      </c>
      <c r="H132">
        <v>0</v>
      </c>
      <c r="I132">
        <v>118</v>
      </c>
      <c r="J132">
        <v>119</v>
      </c>
      <c r="K132">
        <v>119</v>
      </c>
      <c r="L132">
        <v>1</v>
      </c>
      <c r="M132">
        <v>2017</v>
      </c>
      <c r="N132">
        <v>5</v>
      </c>
      <c r="O132">
        <v>4</v>
      </c>
      <c r="P132">
        <v>2</v>
      </c>
      <c r="Q132" s="2" t="s">
        <v>17</v>
      </c>
    </row>
    <row r="133" spans="1:17" x14ac:dyDescent="0.3">
      <c r="A133" s="1">
        <v>42877</v>
      </c>
      <c r="B133" s="3">
        <v>120</v>
      </c>
      <c r="C133" s="3">
        <v>120</v>
      </c>
      <c r="D133" s="3">
        <v>120</v>
      </c>
      <c r="E133" s="3">
        <v>120</v>
      </c>
      <c r="F133" s="4">
        <v>5132500</v>
      </c>
      <c r="G133" s="3">
        <v>120</v>
      </c>
      <c r="H133">
        <v>0</v>
      </c>
      <c r="I133">
        <v>118</v>
      </c>
      <c r="J133">
        <v>119</v>
      </c>
      <c r="K133">
        <v>119</v>
      </c>
      <c r="L133">
        <v>1</v>
      </c>
      <c r="M133">
        <v>2017</v>
      </c>
      <c r="N133">
        <v>5</v>
      </c>
      <c r="O133">
        <v>0</v>
      </c>
      <c r="P133">
        <v>2</v>
      </c>
      <c r="Q133" s="2" t="s">
        <v>17</v>
      </c>
    </row>
    <row r="134" spans="1:17" x14ac:dyDescent="0.3">
      <c r="A134" s="1">
        <v>42878</v>
      </c>
      <c r="B134" s="3">
        <v>119</v>
      </c>
      <c r="C134" s="3">
        <v>120</v>
      </c>
      <c r="D134" s="3">
        <v>119</v>
      </c>
      <c r="E134" s="3">
        <v>120</v>
      </c>
      <c r="F134" s="4">
        <v>8305400</v>
      </c>
      <c r="G134" s="3">
        <v>119</v>
      </c>
      <c r="H134">
        <v>-1</v>
      </c>
      <c r="I134">
        <v>118</v>
      </c>
      <c r="J134">
        <v>119</v>
      </c>
      <c r="K134">
        <v>119</v>
      </c>
      <c r="L134">
        <v>1</v>
      </c>
      <c r="M134">
        <v>2017</v>
      </c>
      <c r="N134">
        <v>5</v>
      </c>
      <c r="O134">
        <v>1</v>
      </c>
      <c r="P134">
        <v>2</v>
      </c>
      <c r="Q134" s="2" t="s">
        <v>17</v>
      </c>
    </row>
    <row r="135" spans="1:17" x14ac:dyDescent="0.3">
      <c r="A135" s="1">
        <v>42879</v>
      </c>
      <c r="B135" s="3">
        <v>120</v>
      </c>
      <c r="C135" s="3">
        <v>120</v>
      </c>
      <c r="D135" s="3">
        <v>119</v>
      </c>
      <c r="E135" s="3">
        <v>119</v>
      </c>
      <c r="F135" s="4">
        <v>7025000</v>
      </c>
      <c r="G135" s="3">
        <v>120</v>
      </c>
      <c r="H135">
        <v>0</v>
      </c>
      <c r="I135">
        <v>118</v>
      </c>
      <c r="J135">
        <v>119</v>
      </c>
      <c r="K135">
        <v>119</v>
      </c>
      <c r="L135">
        <v>1</v>
      </c>
      <c r="M135">
        <v>2017</v>
      </c>
      <c r="N135">
        <v>5</v>
      </c>
      <c r="O135">
        <v>2</v>
      </c>
      <c r="P135">
        <v>2</v>
      </c>
      <c r="Q135" s="2" t="s">
        <v>17</v>
      </c>
    </row>
    <row r="136" spans="1:17" x14ac:dyDescent="0.3">
      <c r="A136" s="1">
        <v>42880</v>
      </c>
      <c r="B136" s="3">
        <v>119</v>
      </c>
      <c r="C136" s="3">
        <v>120</v>
      </c>
      <c r="D136" s="3">
        <v>119</v>
      </c>
      <c r="E136" s="3">
        <v>120</v>
      </c>
      <c r="F136" s="4">
        <v>4105100</v>
      </c>
      <c r="G136" s="3">
        <v>119</v>
      </c>
      <c r="H136">
        <v>0</v>
      </c>
      <c r="I136">
        <v>118</v>
      </c>
      <c r="J136">
        <v>119</v>
      </c>
      <c r="K136">
        <v>119</v>
      </c>
      <c r="L136">
        <v>1</v>
      </c>
      <c r="M136">
        <v>2017</v>
      </c>
      <c r="N136">
        <v>5</v>
      </c>
      <c r="O136">
        <v>3</v>
      </c>
      <c r="P136">
        <v>2</v>
      </c>
      <c r="Q136" s="2" t="s">
        <v>17</v>
      </c>
    </row>
    <row r="137" spans="1:17" x14ac:dyDescent="0.3">
      <c r="A137" s="1">
        <v>42881</v>
      </c>
      <c r="B137" s="3">
        <v>121</v>
      </c>
      <c r="C137" s="3">
        <v>121</v>
      </c>
      <c r="D137" s="3">
        <v>120</v>
      </c>
      <c r="E137" s="3">
        <v>120</v>
      </c>
      <c r="F137" s="4">
        <v>6791600</v>
      </c>
      <c r="G137" s="3">
        <v>121</v>
      </c>
      <c r="H137">
        <v>1</v>
      </c>
      <c r="I137">
        <v>118</v>
      </c>
      <c r="J137">
        <v>119</v>
      </c>
      <c r="K137">
        <v>119</v>
      </c>
      <c r="L137">
        <v>1</v>
      </c>
      <c r="M137">
        <v>2017</v>
      </c>
      <c r="N137">
        <v>5</v>
      </c>
      <c r="O137">
        <v>4</v>
      </c>
      <c r="P137">
        <v>2</v>
      </c>
      <c r="Q137" s="2" t="s">
        <v>17</v>
      </c>
    </row>
    <row r="138" spans="1:17" x14ac:dyDescent="0.3">
      <c r="A138" s="1">
        <v>42885</v>
      </c>
      <c r="B138" s="3">
        <v>120</v>
      </c>
      <c r="C138" s="3">
        <v>120</v>
      </c>
      <c r="D138" s="3">
        <v>120</v>
      </c>
      <c r="E138" s="3">
        <v>120</v>
      </c>
      <c r="F138" s="4">
        <v>4507500</v>
      </c>
      <c r="G138" s="3">
        <v>120</v>
      </c>
      <c r="H138">
        <v>0</v>
      </c>
      <c r="I138">
        <v>118</v>
      </c>
      <c r="J138">
        <v>119</v>
      </c>
      <c r="K138">
        <v>119</v>
      </c>
      <c r="L138">
        <v>1</v>
      </c>
      <c r="M138">
        <v>2017</v>
      </c>
      <c r="N138">
        <v>5</v>
      </c>
      <c r="O138">
        <v>1</v>
      </c>
      <c r="P138">
        <v>2</v>
      </c>
      <c r="Q138" s="2" t="s">
        <v>17</v>
      </c>
    </row>
    <row r="139" spans="1:17" x14ac:dyDescent="0.3">
      <c r="A139" s="1">
        <v>42886</v>
      </c>
      <c r="B139" s="3">
        <v>121</v>
      </c>
      <c r="C139" s="3">
        <v>121</v>
      </c>
      <c r="D139" s="3">
        <v>120</v>
      </c>
      <c r="E139" s="3">
        <v>120</v>
      </c>
      <c r="F139" s="4">
        <v>10360700</v>
      </c>
      <c r="G139" s="3">
        <v>121</v>
      </c>
      <c r="H139">
        <v>0</v>
      </c>
      <c r="I139">
        <v>118</v>
      </c>
      <c r="J139">
        <v>119</v>
      </c>
      <c r="K139">
        <v>119</v>
      </c>
      <c r="L139">
        <v>1</v>
      </c>
      <c r="M139">
        <v>2017</v>
      </c>
      <c r="N139">
        <v>5</v>
      </c>
      <c r="O139">
        <v>2</v>
      </c>
      <c r="P139">
        <v>2</v>
      </c>
      <c r="Q139" s="2" t="s">
        <v>17</v>
      </c>
    </row>
    <row r="140" spans="1:17" x14ac:dyDescent="0.3">
      <c r="A140" s="1">
        <v>42887</v>
      </c>
      <c r="B140" s="3">
        <v>121</v>
      </c>
      <c r="C140" s="3">
        <v>121</v>
      </c>
      <c r="D140" s="3">
        <v>120</v>
      </c>
      <c r="E140" s="3">
        <v>120</v>
      </c>
      <c r="F140" s="4">
        <v>8702500</v>
      </c>
      <c r="G140" s="3">
        <v>121</v>
      </c>
      <c r="H140">
        <v>0</v>
      </c>
      <c r="I140">
        <v>118</v>
      </c>
      <c r="J140">
        <v>119</v>
      </c>
      <c r="K140">
        <v>119</v>
      </c>
      <c r="L140">
        <v>1</v>
      </c>
      <c r="M140">
        <v>2017</v>
      </c>
      <c r="N140">
        <v>6</v>
      </c>
      <c r="O140">
        <v>3</v>
      </c>
      <c r="P140">
        <v>2</v>
      </c>
      <c r="Q140" s="2" t="s">
        <v>17</v>
      </c>
    </row>
    <row r="141" spans="1:17" x14ac:dyDescent="0.3">
      <c r="A141" s="1">
        <v>42888</v>
      </c>
      <c r="B141" s="3">
        <v>122</v>
      </c>
      <c r="C141" s="3">
        <v>122</v>
      </c>
      <c r="D141" s="3">
        <v>121</v>
      </c>
      <c r="E141" s="3">
        <v>121</v>
      </c>
      <c r="F141" s="4">
        <v>7268100</v>
      </c>
      <c r="G141" s="3">
        <v>122</v>
      </c>
      <c r="H141">
        <v>1</v>
      </c>
      <c r="I141">
        <v>119</v>
      </c>
      <c r="J141">
        <v>120</v>
      </c>
      <c r="K141">
        <v>119</v>
      </c>
      <c r="L141">
        <v>1</v>
      </c>
      <c r="M141">
        <v>2017</v>
      </c>
      <c r="N141">
        <v>6</v>
      </c>
      <c r="O141">
        <v>4</v>
      </c>
      <c r="P141">
        <v>2</v>
      </c>
      <c r="Q141" s="2" t="s">
        <v>19</v>
      </c>
    </row>
    <row r="142" spans="1:17" x14ac:dyDescent="0.3">
      <c r="A142" s="1">
        <v>42891</v>
      </c>
      <c r="B142" s="3">
        <v>122</v>
      </c>
      <c r="C142" s="3">
        <v>122</v>
      </c>
      <c r="D142" s="3">
        <v>122</v>
      </c>
      <c r="E142" s="3">
        <v>122</v>
      </c>
      <c r="F142" s="4">
        <v>3979200</v>
      </c>
      <c r="G142" s="3">
        <v>122</v>
      </c>
      <c r="H142">
        <v>0</v>
      </c>
      <c r="I142">
        <v>119</v>
      </c>
      <c r="J142">
        <v>120</v>
      </c>
      <c r="K142">
        <v>119</v>
      </c>
      <c r="L142">
        <v>1</v>
      </c>
      <c r="M142">
        <v>2017</v>
      </c>
      <c r="N142">
        <v>6</v>
      </c>
      <c r="O142">
        <v>0</v>
      </c>
      <c r="P142">
        <v>2</v>
      </c>
      <c r="Q142" s="2" t="s">
        <v>17</v>
      </c>
    </row>
    <row r="143" spans="1:17" x14ac:dyDescent="0.3">
      <c r="A143" s="1">
        <v>42892</v>
      </c>
      <c r="B143" s="3">
        <v>123</v>
      </c>
      <c r="C143" s="3">
        <v>123</v>
      </c>
      <c r="D143" s="3">
        <v>123</v>
      </c>
      <c r="E143" s="3">
        <v>123</v>
      </c>
      <c r="F143" s="4">
        <v>10798500</v>
      </c>
      <c r="G143" s="3">
        <v>123</v>
      </c>
      <c r="H143">
        <v>1</v>
      </c>
      <c r="I143">
        <v>119</v>
      </c>
      <c r="J143">
        <v>120</v>
      </c>
      <c r="K143">
        <v>119</v>
      </c>
      <c r="L143">
        <v>1</v>
      </c>
      <c r="M143">
        <v>2017</v>
      </c>
      <c r="N143">
        <v>6</v>
      </c>
      <c r="O143">
        <v>1</v>
      </c>
      <c r="P143">
        <v>2</v>
      </c>
      <c r="Q143" s="2" t="s">
        <v>17</v>
      </c>
    </row>
    <row r="144" spans="1:17" x14ac:dyDescent="0.3">
      <c r="A144" s="1">
        <v>42893</v>
      </c>
      <c r="B144" s="3">
        <v>122</v>
      </c>
      <c r="C144" s="3">
        <v>123</v>
      </c>
      <c r="D144" s="3">
        <v>122</v>
      </c>
      <c r="E144" s="3">
        <v>123</v>
      </c>
      <c r="F144" s="4">
        <v>9039200</v>
      </c>
      <c r="G144" s="3">
        <v>122</v>
      </c>
      <c r="H144">
        <v>-1</v>
      </c>
      <c r="I144">
        <v>120</v>
      </c>
      <c r="J144">
        <v>120</v>
      </c>
      <c r="K144">
        <v>119</v>
      </c>
      <c r="L144">
        <v>1</v>
      </c>
      <c r="M144">
        <v>2017</v>
      </c>
      <c r="N144">
        <v>6</v>
      </c>
      <c r="O144">
        <v>2</v>
      </c>
      <c r="P144">
        <v>2</v>
      </c>
      <c r="Q144" s="2" t="s">
        <v>17</v>
      </c>
    </row>
    <row r="145" spans="1:17" x14ac:dyDescent="0.3">
      <c r="A145" s="1">
        <v>42894</v>
      </c>
      <c r="B145" s="3">
        <v>122</v>
      </c>
      <c r="C145" s="3">
        <v>122</v>
      </c>
      <c r="D145" s="3">
        <v>121</v>
      </c>
      <c r="E145" s="3">
        <v>122</v>
      </c>
      <c r="F145" s="4">
        <v>8169800</v>
      </c>
      <c r="G145" s="3">
        <v>122</v>
      </c>
      <c r="H145">
        <v>-1</v>
      </c>
      <c r="I145">
        <v>120</v>
      </c>
      <c r="J145">
        <v>120</v>
      </c>
      <c r="K145">
        <v>118</v>
      </c>
      <c r="L145">
        <v>1</v>
      </c>
      <c r="M145">
        <v>2017</v>
      </c>
      <c r="N145">
        <v>6</v>
      </c>
      <c r="O145">
        <v>3</v>
      </c>
      <c r="P145">
        <v>2</v>
      </c>
      <c r="Q145" s="2" t="s">
        <v>17</v>
      </c>
    </row>
    <row r="146" spans="1:17" x14ac:dyDescent="0.3">
      <c r="A146" s="1">
        <v>42895</v>
      </c>
      <c r="B146" s="3">
        <v>121</v>
      </c>
      <c r="C146" s="3">
        <v>121</v>
      </c>
      <c r="D146" s="3">
        <v>120</v>
      </c>
      <c r="E146" s="3">
        <v>120</v>
      </c>
      <c r="F146" s="4">
        <v>7054700</v>
      </c>
      <c r="G146" s="3">
        <v>121</v>
      </c>
      <c r="H146">
        <v>-1</v>
      </c>
      <c r="I146">
        <v>120</v>
      </c>
      <c r="J146">
        <v>120</v>
      </c>
      <c r="K146">
        <v>118</v>
      </c>
      <c r="L146">
        <v>1</v>
      </c>
      <c r="M146">
        <v>2017</v>
      </c>
      <c r="N146">
        <v>6</v>
      </c>
      <c r="O146">
        <v>4</v>
      </c>
      <c r="P146">
        <v>2</v>
      </c>
      <c r="Q146" s="2" t="s">
        <v>17</v>
      </c>
    </row>
    <row r="147" spans="1:17" x14ac:dyDescent="0.3">
      <c r="A147" s="1">
        <v>42898</v>
      </c>
      <c r="B147" s="3">
        <v>120</v>
      </c>
      <c r="C147" s="3">
        <v>121</v>
      </c>
      <c r="D147" s="3">
        <v>120</v>
      </c>
      <c r="E147" s="3">
        <v>120</v>
      </c>
      <c r="F147" s="4">
        <v>4927400</v>
      </c>
      <c r="G147" s="3">
        <v>120</v>
      </c>
      <c r="H147">
        <v>0</v>
      </c>
      <c r="I147">
        <v>120</v>
      </c>
      <c r="J147">
        <v>120</v>
      </c>
      <c r="K147">
        <v>118</v>
      </c>
      <c r="L147">
        <v>1</v>
      </c>
      <c r="M147">
        <v>2017</v>
      </c>
      <c r="N147">
        <v>6</v>
      </c>
      <c r="O147">
        <v>0</v>
      </c>
      <c r="P147">
        <v>2</v>
      </c>
      <c r="Q147" s="2" t="s">
        <v>17</v>
      </c>
    </row>
    <row r="148" spans="1:17" x14ac:dyDescent="0.3">
      <c r="A148" s="1">
        <v>42899</v>
      </c>
      <c r="B148" s="3">
        <v>120</v>
      </c>
      <c r="C148" s="3">
        <v>121</v>
      </c>
      <c r="D148" s="3">
        <v>120</v>
      </c>
      <c r="E148" s="3">
        <v>120</v>
      </c>
      <c r="F148" s="4">
        <v>3786600</v>
      </c>
      <c r="G148" s="3">
        <v>120</v>
      </c>
      <c r="H148">
        <v>0</v>
      </c>
      <c r="I148">
        <v>120</v>
      </c>
      <c r="J148">
        <v>120</v>
      </c>
      <c r="K148">
        <v>118</v>
      </c>
      <c r="L148">
        <v>1</v>
      </c>
      <c r="M148">
        <v>2017</v>
      </c>
      <c r="N148">
        <v>6</v>
      </c>
      <c r="O148">
        <v>1</v>
      </c>
      <c r="P148">
        <v>2</v>
      </c>
      <c r="Q148" s="2" t="s">
        <v>17</v>
      </c>
    </row>
    <row r="149" spans="1:17" x14ac:dyDescent="0.3">
      <c r="A149" s="1">
        <v>42900</v>
      </c>
      <c r="B149" s="3">
        <v>120</v>
      </c>
      <c r="C149" s="3">
        <v>122</v>
      </c>
      <c r="D149" s="3">
        <v>120</v>
      </c>
      <c r="E149" s="3">
        <v>122</v>
      </c>
      <c r="F149" s="4">
        <v>21124800</v>
      </c>
      <c r="G149" s="3">
        <v>120</v>
      </c>
      <c r="H149">
        <v>-1</v>
      </c>
      <c r="I149">
        <v>120</v>
      </c>
      <c r="J149">
        <v>120</v>
      </c>
      <c r="K149">
        <v>118</v>
      </c>
      <c r="L149">
        <v>1</v>
      </c>
      <c r="M149">
        <v>2017</v>
      </c>
      <c r="N149">
        <v>6</v>
      </c>
      <c r="O149">
        <v>2</v>
      </c>
      <c r="P149">
        <v>2</v>
      </c>
      <c r="Q149" s="2" t="s">
        <v>17</v>
      </c>
    </row>
    <row r="150" spans="1:17" x14ac:dyDescent="0.3">
      <c r="A150" s="1">
        <v>42901</v>
      </c>
      <c r="B150" s="3">
        <v>119</v>
      </c>
      <c r="C150" s="3">
        <v>120</v>
      </c>
      <c r="D150" s="3">
        <v>119</v>
      </c>
      <c r="E150" s="3">
        <v>119</v>
      </c>
      <c r="F150" s="4">
        <v>6796700</v>
      </c>
      <c r="G150" s="3">
        <v>119</v>
      </c>
      <c r="H150">
        <v>0</v>
      </c>
      <c r="I150">
        <v>120</v>
      </c>
      <c r="J150">
        <v>120</v>
      </c>
      <c r="K150">
        <v>118</v>
      </c>
      <c r="L150">
        <v>1</v>
      </c>
      <c r="M150">
        <v>2017</v>
      </c>
      <c r="N150">
        <v>6</v>
      </c>
      <c r="O150">
        <v>3</v>
      </c>
      <c r="P150">
        <v>2</v>
      </c>
      <c r="Q150" s="2" t="s">
        <v>17</v>
      </c>
    </row>
    <row r="151" spans="1:17" x14ac:dyDescent="0.3">
      <c r="A151" s="1">
        <v>42902</v>
      </c>
      <c r="B151" s="3">
        <v>119</v>
      </c>
      <c r="C151" s="3">
        <v>120</v>
      </c>
      <c r="D151" s="3">
        <v>119</v>
      </c>
      <c r="E151" s="3">
        <v>119</v>
      </c>
      <c r="F151" s="4">
        <v>6435700</v>
      </c>
      <c r="G151" s="3">
        <v>119</v>
      </c>
      <c r="H151">
        <v>0</v>
      </c>
      <c r="I151">
        <v>120</v>
      </c>
      <c r="J151">
        <v>120</v>
      </c>
      <c r="K151">
        <v>118</v>
      </c>
      <c r="L151">
        <v>1</v>
      </c>
      <c r="M151">
        <v>2017</v>
      </c>
      <c r="N151">
        <v>6</v>
      </c>
      <c r="O151">
        <v>4</v>
      </c>
      <c r="P151">
        <v>2</v>
      </c>
      <c r="Q151" s="2" t="s">
        <v>17</v>
      </c>
    </row>
    <row r="152" spans="1:17" x14ac:dyDescent="0.3">
      <c r="A152" s="1">
        <v>42905</v>
      </c>
      <c r="B152" s="3">
        <v>118</v>
      </c>
      <c r="C152" s="3">
        <v>119</v>
      </c>
      <c r="D152" s="3">
        <v>118</v>
      </c>
      <c r="E152" s="3">
        <v>119</v>
      </c>
      <c r="F152" s="4">
        <v>6787000</v>
      </c>
      <c r="G152" s="3">
        <v>118</v>
      </c>
      <c r="H152">
        <v>-1</v>
      </c>
      <c r="I152">
        <v>120</v>
      </c>
      <c r="J152">
        <v>120</v>
      </c>
      <c r="K152">
        <v>118</v>
      </c>
      <c r="L152">
        <v>1</v>
      </c>
      <c r="M152">
        <v>2017</v>
      </c>
      <c r="N152">
        <v>6</v>
      </c>
      <c r="O152">
        <v>0</v>
      </c>
      <c r="P152">
        <v>2</v>
      </c>
      <c r="Q152" s="2" t="s">
        <v>17</v>
      </c>
    </row>
    <row r="153" spans="1:17" x14ac:dyDescent="0.3">
      <c r="A153" s="1">
        <v>42906</v>
      </c>
      <c r="B153" s="3">
        <v>118</v>
      </c>
      <c r="C153" s="3">
        <v>118</v>
      </c>
      <c r="D153" s="3">
        <v>118</v>
      </c>
      <c r="E153" s="3">
        <v>118</v>
      </c>
      <c r="F153" s="4">
        <v>4617400</v>
      </c>
      <c r="G153" s="3">
        <v>118</v>
      </c>
      <c r="H153">
        <v>0</v>
      </c>
      <c r="I153">
        <v>120</v>
      </c>
      <c r="J153">
        <v>120</v>
      </c>
      <c r="K153">
        <v>118</v>
      </c>
      <c r="L153">
        <v>1</v>
      </c>
      <c r="M153">
        <v>2017</v>
      </c>
      <c r="N153">
        <v>6</v>
      </c>
      <c r="O153">
        <v>1</v>
      </c>
      <c r="P153">
        <v>2</v>
      </c>
      <c r="Q153" s="2" t="s">
        <v>17</v>
      </c>
    </row>
    <row r="154" spans="1:17" x14ac:dyDescent="0.3">
      <c r="A154" s="1">
        <v>42907</v>
      </c>
      <c r="B154" s="3">
        <v>119</v>
      </c>
      <c r="C154" s="3">
        <v>119</v>
      </c>
      <c r="D154" s="3">
        <v>118</v>
      </c>
      <c r="E154" s="3">
        <v>118</v>
      </c>
      <c r="F154" s="4">
        <v>4723700</v>
      </c>
      <c r="G154" s="3">
        <v>119</v>
      </c>
      <c r="H154">
        <v>0</v>
      </c>
      <c r="I154">
        <v>120</v>
      </c>
      <c r="J154">
        <v>120</v>
      </c>
      <c r="K154">
        <v>118</v>
      </c>
      <c r="L154">
        <v>1</v>
      </c>
      <c r="M154">
        <v>2017</v>
      </c>
      <c r="N154">
        <v>6</v>
      </c>
      <c r="O154">
        <v>2</v>
      </c>
      <c r="P154">
        <v>2</v>
      </c>
      <c r="Q154" s="2" t="s">
        <v>17</v>
      </c>
    </row>
    <row r="155" spans="1:17" x14ac:dyDescent="0.3">
      <c r="A155" s="1">
        <v>42908</v>
      </c>
      <c r="B155" s="3">
        <v>119</v>
      </c>
      <c r="C155" s="3">
        <v>119</v>
      </c>
      <c r="D155" s="3">
        <v>119</v>
      </c>
      <c r="E155" s="3">
        <v>119</v>
      </c>
      <c r="F155" s="4">
        <v>5811900</v>
      </c>
      <c r="G155" s="3">
        <v>119</v>
      </c>
      <c r="H155">
        <v>0</v>
      </c>
      <c r="I155">
        <v>120</v>
      </c>
      <c r="J155">
        <v>120</v>
      </c>
      <c r="K155">
        <v>118</v>
      </c>
      <c r="L155">
        <v>1</v>
      </c>
      <c r="M155">
        <v>2017</v>
      </c>
      <c r="N155">
        <v>6</v>
      </c>
      <c r="O155">
        <v>3</v>
      </c>
      <c r="P155">
        <v>2</v>
      </c>
      <c r="Q155" s="2" t="s">
        <v>17</v>
      </c>
    </row>
    <row r="156" spans="1:17" x14ac:dyDescent="0.3">
      <c r="A156" s="1">
        <v>42909</v>
      </c>
      <c r="B156" s="3">
        <v>119</v>
      </c>
      <c r="C156" s="3">
        <v>120</v>
      </c>
      <c r="D156" s="3">
        <v>119</v>
      </c>
      <c r="E156" s="3">
        <v>120</v>
      </c>
      <c r="F156" s="4">
        <v>9258600</v>
      </c>
      <c r="G156" s="3">
        <v>119</v>
      </c>
      <c r="H156">
        <v>0</v>
      </c>
      <c r="I156">
        <v>120</v>
      </c>
      <c r="J156">
        <v>120</v>
      </c>
      <c r="K156">
        <v>118</v>
      </c>
      <c r="L156">
        <v>1</v>
      </c>
      <c r="M156">
        <v>2017</v>
      </c>
      <c r="N156">
        <v>6</v>
      </c>
      <c r="O156">
        <v>4</v>
      </c>
      <c r="P156">
        <v>2</v>
      </c>
      <c r="Q156" s="2" t="s">
        <v>17</v>
      </c>
    </row>
    <row r="157" spans="1:17" x14ac:dyDescent="0.3">
      <c r="A157" s="1">
        <v>42912</v>
      </c>
      <c r="B157" s="3">
        <v>118</v>
      </c>
      <c r="C157" s="3">
        <v>119</v>
      </c>
      <c r="D157" s="3">
        <v>118</v>
      </c>
      <c r="E157" s="3">
        <v>118</v>
      </c>
      <c r="F157" s="4">
        <v>6593400</v>
      </c>
      <c r="G157" s="3">
        <v>118</v>
      </c>
      <c r="H157">
        <v>-1</v>
      </c>
      <c r="I157">
        <v>120</v>
      </c>
      <c r="J157">
        <v>120</v>
      </c>
      <c r="K157">
        <v>118</v>
      </c>
      <c r="L157">
        <v>1</v>
      </c>
      <c r="M157">
        <v>2017</v>
      </c>
      <c r="N157">
        <v>6</v>
      </c>
      <c r="O157">
        <v>0</v>
      </c>
      <c r="P157">
        <v>2</v>
      </c>
      <c r="Q157" s="2" t="s">
        <v>17</v>
      </c>
    </row>
    <row r="158" spans="1:17" x14ac:dyDescent="0.3">
      <c r="A158" s="1">
        <v>42913</v>
      </c>
      <c r="B158" s="3">
        <v>119</v>
      </c>
      <c r="C158" s="3">
        <v>119</v>
      </c>
      <c r="D158" s="3">
        <v>118</v>
      </c>
      <c r="E158" s="3">
        <v>119</v>
      </c>
      <c r="F158" s="4">
        <v>5759300</v>
      </c>
      <c r="G158" s="3">
        <v>119</v>
      </c>
      <c r="H158">
        <v>0</v>
      </c>
      <c r="I158">
        <v>120</v>
      </c>
      <c r="J158">
        <v>120</v>
      </c>
      <c r="K158">
        <v>118</v>
      </c>
      <c r="L158">
        <v>1</v>
      </c>
      <c r="M158">
        <v>2017</v>
      </c>
      <c r="N158">
        <v>6</v>
      </c>
      <c r="O158">
        <v>1</v>
      </c>
      <c r="P158">
        <v>2</v>
      </c>
      <c r="Q158" s="2" t="s">
        <v>17</v>
      </c>
    </row>
    <row r="159" spans="1:17" x14ac:dyDescent="0.3">
      <c r="A159" s="1">
        <v>42914</v>
      </c>
      <c r="B159" s="3">
        <v>119</v>
      </c>
      <c r="C159" s="3">
        <v>119</v>
      </c>
      <c r="D159" s="3">
        <v>119</v>
      </c>
      <c r="E159" s="3">
        <v>119</v>
      </c>
      <c r="F159" s="4">
        <v>4220100</v>
      </c>
      <c r="G159" s="3">
        <v>119</v>
      </c>
      <c r="H159">
        <v>0</v>
      </c>
      <c r="I159">
        <v>120</v>
      </c>
      <c r="J159">
        <v>120</v>
      </c>
      <c r="K159">
        <v>118</v>
      </c>
      <c r="L159">
        <v>1</v>
      </c>
      <c r="M159">
        <v>2017</v>
      </c>
      <c r="N159">
        <v>6</v>
      </c>
      <c r="O159">
        <v>2</v>
      </c>
      <c r="P159">
        <v>2</v>
      </c>
      <c r="Q159" s="2" t="s">
        <v>17</v>
      </c>
    </row>
    <row r="160" spans="1:17" x14ac:dyDescent="0.3">
      <c r="A160" s="1">
        <v>42915</v>
      </c>
      <c r="B160" s="3">
        <v>118</v>
      </c>
      <c r="C160" s="3">
        <v>119</v>
      </c>
      <c r="D160" s="3">
        <v>118</v>
      </c>
      <c r="E160" s="3">
        <v>118</v>
      </c>
      <c r="F160" s="4">
        <v>7705200</v>
      </c>
      <c r="G160" s="3">
        <v>118</v>
      </c>
      <c r="H160">
        <v>0</v>
      </c>
      <c r="I160">
        <v>120</v>
      </c>
      <c r="J160">
        <v>119</v>
      </c>
      <c r="K160">
        <v>118</v>
      </c>
      <c r="L160">
        <v>1</v>
      </c>
      <c r="M160">
        <v>2017</v>
      </c>
      <c r="N160">
        <v>6</v>
      </c>
      <c r="O160">
        <v>3</v>
      </c>
      <c r="P160">
        <v>2</v>
      </c>
      <c r="Q160" s="2" t="s">
        <v>17</v>
      </c>
    </row>
    <row r="161" spans="1:17" x14ac:dyDescent="0.3">
      <c r="A161" s="1">
        <v>42916</v>
      </c>
      <c r="B161" s="3">
        <v>118</v>
      </c>
      <c r="C161" s="3">
        <v>118</v>
      </c>
      <c r="D161" s="3">
        <v>118</v>
      </c>
      <c r="E161" s="3">
        <v>118</v>
      </c>
      <c r="F161" s="4">
        <v>7272600</v>
      </c>
      <c r="G161" s="3">
        <v>118</v>
      </c>
      <c r="H161">
        <v>0</v>
      </c>
      <c r="I161">
        <v>120</v>
      </c>
      <c r="J161">
        <v>119</v>
      </c>
      <c r="K161">
        <v>118</v>
      </c>
      <c r="L161">
        <v>1</v>
      </c>
      <c r="M161">
        <v>2017</v>
      </c>
      <c r="N161">
        <v>6</v>
      </c>
      <c r="O161">
        <v>4</v>
      </c>
      <c r="P161">
        <v>2</v>
      </c>
      <c r="Q161" s="2" t="s">
        <v>17</v>
      </c>
    </row>
    <row r="162" spans="1:17" x14ac:dyDescent="0.3">
      <c r="A162" s="1">
        <v>42919</v>
      </c>
      <c r="B162" s="3">
        <v>116</v>
      </c>
      <c r="C162" s="3">
        <v>117</v>
      </c>
      <c r="D162" s="3">
        <v>116</v>
      </c>
      <c r="E162" s="3">
        <v>117</v>
      </c>
      <c r="F162" s="4">
        <v>12145000</v>
      </c>
      <c r="G162" s="3">
        <v>116</v>
      </c>
      <c r="H162">
        <v>-2</v>
      </c>
      <c r="I162">
        <v>119</v>
      </c>
      <c r="J162">
        <v>119</v>
      </c>
      <c r="K162">
        <v>118</v>
      </c>
      <c r="L162">
        <v>1</v>
      </c>
      <c r="M162">
        <v>2017</v>
      </c>
      <c r="N162">
        <v>7</v>
      </c>
      <c r="O162">
        <v>0</v>
      </c>
      <c r="P162">
        <v>3</v>
      </c>
      <c r="Q162" s="2" t="s">
        <v>17</v>
      </c>
    </row>
    <row r="163" spans="1:17" x14ac:dyDescent="0.3">
      <c r="A163" s="1">
        <v>42921</v>
      </c>
      <c r="B163" s="3">
        <v>117</v>
      </c>
      <c r="C163" s="3">
        <v>117</v>
      </c>
      <c r="D163" s="3">
        <v>116</v>
      </c>
      <c r="E163" s="3">
        <v>116</v>
      </c>
      <c r="F163" s="4">
        <v>7223300</v>
      </c>
      <c r="G163" s="3">
        <v>117</v>
      </c>
      <c r="H163">
        <v>0</v>
      </c>
      <c r="I163">
        <v>119</v>
      </c>
      <c r="J163">
        <v>119</v>
      </c>
      <c r="K163">
        <v>118</v>
      </c>
      <c r="L163">
        <v>1</v>
      </c>
      <c r="M163">
        <v>2017</v>
      </c>
      <c r="N163">
        <v>7</v>
      </c>
      <c r="O163">
        <v>2</v>
      </c>
      <c r="P163">
        <v>3</v>
      </c>
      <c r="Q163" s="2" t="s">
        <v>17</v>
      </c>
    </row>
    <row r="164" spans="1:17" x14ac:dyDescent="0.3">
      <c r="A164" s="1">
        <v>42922</v>
      </c>
      <c r="B164" s="3">
        <v>116</v>
      </c>
      <c r="C164" s="3">
        <v>117</v>
      </c>
      <c r="D164" s="3">
        <v>116</v>
      </c>
      <c r="E164" s="3">
        <v>117</v>
      </c>
      <c r="F164" s="4">
        <v>4443400</v>
      </c>
      <c r="G164" s="3">
        <v>116</v>
      </c>
      <c r="H164">
        <v>0</v>
      </c>
      <c r="I164">
        <v>119</v>
      </c>
      <c r="J164">
        <v>119</v>
      </c>
      <c r="K164">
        <v>118</v>
      </c>
      <c r="L164">
        <v>1</v>
      </c>
      <c r="M164">
        <v>2017</v>
      </c>
      <c r="N164">
        <v>7</v>
      </c>
      <c r="O164">
        <v>3</v>
      </c>
      <c r="P164">
        <v>3</v>
      </c>
      <c r="Q164" s="2" t="s">
        <v>17</v>
      </c>
    </row>
    <row r="165" spans="1:17" x14ac:dyDescent="0.3">
      <c r="A165" s="1">
        <v>42923</v>
      </c>
      <c r="B165" s="3">
        <v>115</v>
      </c>
      <c r="C165" s="3">
        <v>116</v>
      </c>
      <c r="D165" s="3">
        <v>115</v>
      </c>
      <c r="E165" s="3">
        <v>116</v>
      </c>
      <c r="F165" s="4">
        <v>11153600</v>
      </c>
      <c r="G165" s="3">
        <v>115</v>
      </c>
      <c r="H165">
        <v>-1</v>
      </c>
      <c r="I165">
        <v>119</v>
      </c>
      <c r="J165">
        <v>119</v>
      </c>
      <c r="K165">
        <v>118</v>
      </c>
      <c r="L165">
        <v>1</v>
      </c>
      <c r="M165">
        <v>2017</v>
      </c>
      <c r="N165">
        <v>7</v>
      </c>
      <c r="O165">
        <v>4</v>
      </c>
      <c r="P165">
        <v>3</v>
      </c>
      <c r="Q165" s="2" t="s">
        <v>17</v>
      </c>
    </row>
    <row r="166" spans="1:17" x14ac:dyDescent="0.3">
      <c r="A166" s="1">
        <v>42926</v>
      </c>
      <c r="B166" s="3">
        <v>115</v>
      </c>
      <c r="C166" s="3">
        <v>116</v>
      </c>
      <c r="D166" s="3">
        <v>115</v>
      </c>
      <c r="E166" s="3">
        <v>115</v>
      </c>
      <c r="F166" s="4">
        <v>4970900</v>
      </c>
      <c r="G166" s="3">
        <v>115</v>
      </c>
      <c r="H166">
        <v>0</v>
      </c>
      <c r="I166">
        <v>118</v>
      </c>
      <c r="J166">
        <v>119</v>
      </c>
      <c r="K166">
        <v>118</v>
      </c>
      <c r="L166">
        <v>1</v>
      </c>
      <c r="M166">
        <v>2017</v>
      </c>
      <c r="N166">
        <v>7</v>
      </c>
      <c r="O166">
        <v>0</v>
      </c>
      <c r="P166">
        <v>3</v>
      </c>
      <c r="Q166" s="2" t="s">
        <v>17</v>
      </c>
    </row>
    <row r="167" spans="1:17" x14ac:dyDescent="0.3">
      <c r="A167" s="1">
        <v>42927</v>
      </c>
      <c r="B167" s="3">
        <v>116</v>
      </c>
      <c r="C167" s="3">
        <v>116</v>
      </c>
      <c r="D167" s="3">
        <v>115</v>
      </c>
      <c r="E167" s="3">
        <v>115</v>
      </c>
      <c r="F167" s="4">
        <v>6637900</v>
      </c>
      <c r="G167" s="3">
        <v>116</v>
      </c>
      <c r="H167">
        <v>0</v>
      </c>
      <c r="I167">
        <v>118</v>
      </c>
      <c r="J167">
        <v>119</v>
      </c>
      <c r="K167">
        <v>118</v>
      </c>
      <c r="L167">
        <v>1</v>
      </c>
      <c r="M167">
        <v>2017</v>
      </c>
      <c r="N167">
        <v>7</v>
      </c>
      <c r="O167">
        <v>1</v>
      </c>
      <c r="P167">
        <v>3</v>
      </c>
      <c r="Q167" s="2" t="s">
        <v>17</v>
      </c>
    </row>
    <row r="168" spans="1:17" x14ac:dyDescent="0.3">
      <c r="A168" s="1">
        <v>42928</v>
      </c>
      <c r="B168" s="3">
        <v>116</v>
      </c>
      <c r="C168" s="3">
        <v>116</v>
      </c>
      <c r="D168" s="3">
        <v>116</v>
      </c>
      <c r="E168" s="3">
        <v>116</v>
      </c>
      <c r="F168" s="4">
        <v>4654400</v>
      </c>
      <c r="G168" s="3">
        <v>116</v>
      </c>
      <c r="H168">
        <v>0</v>
      </c>
      <c r="I168">
        <v>118</v>
      </c>
      <c r="J168">
        <v>119</v>
      </c>
      <c r="K168">
        <v>118</v>
      </c>
      <c r="L168">
        <v>1</v>
      </c>
      <c r="M168">
        <v>2017</v>
      </c>
      <c r="N168">
        <v>7</v>
      </c>
      <c r="O168">
        <v>2</v>
      </c>
      <c r="P168">
        <v>3</v>
      </c>
      <c r="Q168" s="2" t="s">
        <v>17</v>
      </c>
    </row>
    <row r="169" spans="1:17" x14ac:dyDescent="0.3">
      <c r="A169" s="1">
        <v>42929</v>
      </c>
      <c r="B169" s="3">
        <v>116</v>
      </c>
      <c r="C169" s="3">
        <v>116</v>
      </c>
      <c r="D169" s="3">
        <v>116</v>
      </c>
      <c r="E169" s="3">
        <v>116</v>
      </c>
      <c r="F169" s="4">
        <v>4148900</v>
      </c>
      <c r="G169" s="3">
        <v>116</v>
      </c>
      <c r="H169">
        <v>0</v>
      </c>
      <c r="I169">
        <v>118</v>
      </c>
      <c r="J169">
        <v>119</v>
      </c>
      <c r="K169">
        <v>117</v>
      </c>
      <c r="L169">
        <v>1</v>
      </c>
      <c r="M169">
        <v>2017</v>
      </c>
      <c r="N169">
        <v>7</v>
      </c>
      <c r="O169">
        <v>3</v>
      </c>
      <c r="P169">
        <v>3</v>
      </c>
      <c r="Q169" s="2" t="s">
        <v>17</v>
      </c>
    </row>
    <row r="170" spans="1:17" x14ac:dyDescent="0.3">
      <c r="A170" s="1">
        <v>42930</v>
      </c>
      <c r="B170" s="3">
        <v>117</v>
      </c>
      <c r="C170" s="3">
        <v>117</v>
      </c>
      <c r="D170" s="3">
        <v>117</v>
      </c>
      <c r="E170" s="3">
        <v>117</v>
      </c>
      <c r="F170" s="4">
        <v>5788200</v>
      </c>
      <c r="G170" s="3">
        <v>117</v>
      </c>
      <c r="H170">
        <v>1</v>
      </c>
      <c r="I170">
        <v>117</v>
      </c>
      <c r="J170">
        <v>119</v>
      </c>
      <c r="K170">
        <v>117</v>
      </c>
      <c r="L170">
        <v>1</v>
      </c>
      <c r="M170">
        <v>2017</v>
      </c>
      <c r="N170">
        <v>7</v>
      </c>
      <c r="O170">
        <v>4</v>
      </c>
      <c r="P170">
        <v>3</v>
      </c>
      <c r="Q170" s="2" t="s">
        <v>17</v>
      </c>
    </row>
    <row r="171" spans="1:17" x14ac:dyDescent="0.3">
      <c r="A171" s="1">
        <v>42933</v>
      </c>
      <c r="B171" s="3">
        <v>117</v>
      </c>
      <c r="C171" s="3">
        <v>118</v>
      </c>
      <c r="D171" s="3">
        <v>117</v>
      </c>
      <c r="E171" s="3">
        <v>117</v>
      </c>
      <c r="F171" s="4">
        <v>5170800</v>
      </c>
      <c r="G171" s="3">
        <v>117</v>
      </c>
      <c r="H171">
        <v>0</v>
      </c>
      <c r="I171">
        <v>117</v>
      </c>
      <c r="J171">
        <v>119</v>
      </c>
      <c r="K171">
        <v>117</v>
      </c>
      <c r="L171">
        <v>1</v>
      </c>
      <c r="M171">
        <v>2017</v>
      </c>
      <c r="N171">
        <v>7</v>
      </c>
      <c r="O171">
        <v>0</v>
      </c>
      <c r="P171">
        <v>3</v>
      </c>
      <c r="Q171" s="2" t="s">
        <v>17</v>
      </c>
    </row>
    <row r="172" spans="1:17" x14ac:dyDescent="0.3">
      <c r="A172" s="1">
        <v>42934</v>
      </c>
      <c r="B172" s="3">
        <v>118</v>
      </c>
      <c r="C172" s="3">
        <v>118</v>
      </c>
      <c r="D172" s="3">
        <v>118</v>
      </c>
      <c r="E172" s="3">
        <v>118</v>
      </c>
      <c r="F172" s="4">
        <v>7158600</v>
      </c>
      <c r="G172" s="3">
        <v>118</v>
      </c>
      <c r="H172">
        <v>1</v>
      </c>
      <c r="I172">
        <v>117</v>
      </c>
      <c r="J172">
        <v>119</v>
      </c>
      <c r="K172">
        <v>117</v>
      </c>
      <c r="L172">
        <v>1</v>
      </c>
      <c r="M172">
        <v>2017</v>
      </c>
      <c r="N172">
        <v>7</v>
      </c>
      <c r="O172">
        <v>1</v>
      </c>
      <c r="P172">
        <v>3</v>
      </c>
      <c r="Q172" s="2" t="s">
        <v>17</v>
      </c>
    </row>
    <row r="173" spans="1:17" x14ac:dyDescent="0.3">
      <c r="A173" s="1">
        <v>42935</v>
      </c>
      <c r="B173" s="3">
        <v>118</v>
      </c>
      <c r="C173" s="3">
        <v>118</v>
      </c>
      <c r="D173" s="3">
        <v>118</v>
      </c>
      <c r="E173" s="3">
        <v>118</v>
      </c>
      <c r="F173" s="4">
        <v>3205100</v>
      </c>
      <c r="G173" s="3">
        <v>118</v>
      </c>
      <c r="H173">
        <v>0</v>
      </c>
      <c r="I173">
        <v>117</v>
      </c>
      <c r="J173">
        <v>119</v>
      </c>
      <c r="K173">
        <v>117</v>
      </c>
      <c r="L173">
        <v>1</v>
      </c>
      <c r="M173">
        <v>2017</v>
      </c>
      <c r="N173">
        <v>7</v>
      </c>
      <c r="O173">
        <v>2</v>
      </c>
      <c r="P173">
        <v>3</v>
      </c>
      <c r="Q173" s="2" t="s">
        <v>17</v>
      </c>
    </row>
    <row r="174" spans="1:17" x14ac:dyDescent="0.3">
      <c r="A174" s="1">
        <v>42936</v>
      </c>
      <c r="B174" s="3">
        <v>118</v>
      </c>
      <c r="C174" s="3">
        <v>119</v>
      </c>
      <c r="D174" s="3">
        <v>118</v>
      </c>
      <c r="E174" s="3">
        <v>118</v>
      </c>
      <c r="F174" s="4">
        <v>5571600</v>
      </c>
      <c r="G174" s="3">
        <v>118</v>
      </c>
      <c r="H174">
        <v>0</v>
      </c>
      <c r="I174">
        <v>117</v>
      </c>
      <c r="J174">
        <v>119</v>
      </c>
      <c r="K174">
        <v>117</v>
      </c>
      <c r="L174">
        <v>1</v>
      </c>
      <c r="M174">
        <v>2017</v>
      </c>
      <c r="N174">
        <v>7</v>
      </c>
      <c r="O174">
        <v>3</v>
      </c>
      <c r="P174">
        <v>3</v>
      </c>
      <c r="Q174" s="2" t="s">
        <v>17</v>
      </c>
    </row>
    <row r="175" spans="1:17" x14ac:dyDescent="0.3">
      <c r="A175" s="1">
        <v>42937</v>
      </c>
      <c r="B175" s="3">
        <v>119</v>
      </c>
      <c r="C175" s="3">
        <v>119</v>
      </c>
      <c r="D175" s="3">
        <v>119</v>
      </c>
      <c r="E175" s="3">
        <v>119</v>
      </c>
      <c r="F175" s="4">
        <v>10135900</v>
      </c>
      <c r="G175" s="3">
        <v>119</v>
      </c>
      <c r="H175">
        <v>1</v>
      </c>
      <c r="I175">
        <v>117</v>
      </c>
      <c r="J175">
        <v>119</v>
      </c>
      <c r="K175">
        <v>117</v>
      </c>
      <c r="L175">
        <v>1</v>
      </c>
      <c r="M175">
        <v>2017</v>
      </c>
      <c r="N175">
        <v>7</v>
      </c>
      <c r="O175">
        <v>4</v>
      </c>
      <c r="P175">
        <v>3</v>
      </c>
      <c r="Q175" s="2" t="s">
        <v>17</v>
      </c>
    </row>
    <row r="176" spans="1:17" x14ac:dyDescent="0.3">
      <c r="A176" s="1">
        <v>42940</v>
      </c>
      <c r="B176" s="3">
        <v>119</v>
      </c>
      <c r="C176" s="3">
        <v>120</v>
      </c>
      <c r="D176" s="3">
        <v>119</v>
      </c>
      <c r="E176" s="3">
        <v>120</v>
      </c>
      <c r="F176" s="4">
        <v>3654300</v>
      </c>
      <c r="G176" s="3">
        <v>119</v>
      </c>
      <c r="H176">
        <v>0</v>
      </c>
      <c r="I176">
        <v>117</v>
      </c>
      <c r="J176">
        <v>119</v>
      </c>
      <c r="K176">
        <v>117</v>
      </c>
      <c r="L176">
        <v>1</v>
      </c>
      <c r="M176">
        <v>2017</v>
      </c>
      <c r="N176">
        <v>7</v>
      </c>
      <c r="O176">
        <v>0</v>
      </c>
      <c r="P176">
        <v>3</v>
      </c>
      <c r="Q176" s="2" t="s">
        <v>17</v>
      </c>
    </row>
    <row r="177" spans="1:17" x14ac:dyDescent="0.3">
      <c r="A177" s="1">
        <v>42941</v>
      </c>
      <c r="B177" s="3">
        <v>119</v>
      </c>
      <c r="C177" s="3">
        <v>119</v>
      </c>
      <c r="D177" s="3">
        <v>119</v>
      </c>
      <c r="E177" s="3">
        <v>119</v>
      </c>
      <c r="F177" s="4">
        <v>6203000</v>
      </c>
      <c r="G177" s="3">
        <v>119</v>
      </c>
      <c r="H177">
        <v>0</v>
      </c>
      <c r="I177">
        <v>117</v>
      </c>
      <c r="J177">
        <v>119</v>
      </c>
      <c r="K177">
        <v>117</v>
      </c>
      <c r="L177">
        <v>1</v>
      </c>
      <c r="M177">
        <v>2017</v>
      </c>
      <c r="N177">
        <v>7</v>
      </c>
      <c r="O177">
        <v>1</v>
      </c>
      <c r="P177">
        <v>3</v>
      </c>
      <c r="Q177" s="2" t="s">
        <v>17</v>
      </c>
    </row>
    <row r="178" spans="1:17" x14ac:dyDescent="0.3">
      <c r="A178" s="1">
        <v>42942</v>
      </c>
      <c r="B178" s="3">
        <v>120</v>
      </c>
      <c r="C178" s="3">
        <v>120</v>
      </c>
      <c r="D178" s="3">
        <v>119</v>
      </c>
      <c r="E178" s="3">
        <v>119</v>
      </c>
      <c r="F178" s="4">
        <v>8527900</v>
      </c>
      <c r="G178" s="3">
        <v>120</v>
      </c>
      <c r="H178">
        <v>1</v>
      </c>
      <c r="I178">
        <v>117</v>
      </c>
      <c r="J178">
        <v>119</v>
      </c>
      <c r="K178">
        <v>117</v>
      </c>
      <c r="L178">
        <v>1</v>
      </c>
      <c r="M178">
        <v>2017</v>
      </c>
      <c r="N178">
        <v>7</v>
      </c>
      <c r="O178">
        <v>2</v>
      </c>
      <c r="P178">
        <v>3</v>
      </c>
      <c r="Q178" s="2" t="s">
        <v>17</v>
      </c>
    </row>
    <row r="179" spans="1:17" x14ac:dyDescent="0.3">
      <c r="A179" s="1">
        <v>42943</v>
      </c>
      <c r="B179" s="3">
        <v>120</v>
      </c>
      <c r="C179" s="3">
        <v>120</v>
      </c>
      <c r="D179" s="3">
        <v>119</v>
      </c>
      <c r="E179" s="3">
        <v>120</v>
      </c>
      <c r="F179" s="4">
        <v>6385200</v>
      </c>
      <c r="G179" s="3">
        <v>120</v>
      </c>
      <c r="H179">
        <v>0</v>
      </c>
      <c r="I179">
        <v>117</v>
      </c>
      <c r="J179">
        <v>119</v>
      </c>
      <c r="K179">
        <v>117</v>
      </c>
      <c r="L179">
        <v>1</v>
      </c>
      <c r="M179">
        <v>2017</v>
      </c>
      <c r="N179">
        <v>7</v>
      </c>
      <c r="O179">
        <v>3</v>
      </c>
      <c r="P179">
        <v>3</v>
      </c>
      <c r="Q179" s="2" t="s">
        <v>17</v>
      </c>
    </row>
    <row r="180" spans="1:17" x14ac:dyDescent="0.3">
      <c r="A180" s="1">
        <v>42944</v>
      </c>
      <c r="B180" s="3">
        <v>121</v>
      </c>
      <c r="C180" s="3">
        <v>121</v>
      </c>
      <c r="D180" s="3">
        <v>120</v>
      </c>
      <c r="E180" s="3">
        <v>120</v>
      </c>
      <c r="F180" s="4">
        <v>7393600</v>
      </c>
      <c r="G180" s="3">
        <v>121</v>
      </c>
      <c r="H180">
        <v>1</v>
      </c>
      <c r="I180">
        <v>118</v>
      </c>
      <c r="J180">
        <v>119</v>
      </c>
      <c r="K180">
        <v>117</v>
      </c>
      <c r="L180">
        <v>1</v>
      </c>
      <c r="M180">
        <v>2017</v>
      </c>
      <c r="N180">
        <v>7</v>
      </c>
      <c r="O180">
        <v>4</v>
      </c>
      <c r="P180">
        <v>3</v>
      </c>
      <c r="Q180" s="2" t="s">
        <v>17</v>
      </c>
    </row>
    <row r="181" spans="1:17" x14ac:dyDescent="0.3">
      <c r="A181" s="1">
        <v>42947</v>
      </c>
      <c r="B181" s="3">
        <v>121</v>
      </c>
      <c r="C181" s="3">
        <v>121</v>
      </c>
      <c r="D181" s="3">
        <v>120</v>
      </c>
      <c r="E181" s="3">
        <v>121</v>
      </c>
      <c r="F181" s="4">
        <v>3944600</v>
      </c>
      <c r="G181" s="3">
        <v>121</v>
      </c>
      <c r="H181">
        <v>0</v>
      </c>
      <c r="I181">
        <v>118</v>
      </c>
      <c r="J181">
        <v>119</v>
      </c>
      <c r="K181">
        <v>117</v>
      </c>
      <c r="L181">
        <v>1</v>
      </c>
      <c r="M181">
        <v>2017</v>
      </c>
      <c r="N181">
        <v>7</v>
      </c>
      <c r="O181">
        <v>0</v>
      </c>
      <c r="P181">
        <v>3</v>
      </c>
      <c r="Q181" s="2" t="s">
        <v>17</v>
      </c>
    </row>
    <row r="182" spans="1:17" x14ac:dyDescent="0.3">
      <c r="A182" s="1">
        <v>42948</v>
      </c>
      <c r="B182" s="3">
        <v>121</v>
      </c>
      <c r="C182" s="3">
        <v>121</v>
      </c>
      <c r="D182" s="3">
        <v>120</v>
      </c>
      <c r="E182" s="3">
        <v>120</v>
      </c>
      <c r="F182" s="4">
        <v>7365100</v>
      </c>
      <c r="G182" s="3">
        <v>121</v>
      </c>
      <c r="H182">
        <v>0</v>
      </c>
      <c r="I182">
        <v>118</v>
      </c>
      <c r="J182">
        <v>119</v>
      </c>
      <c r="K182">
        <v>117</v>
      </c>
      <c r="L182">
        <v>0</v>
      </c>
      <c r="M182">
        <v>2017</v>
      </c>
      <c r="N182">
        <v>8</v>
      </c>
      <c r="O182">
        <v>1</v>
      </c>
      <c r="P182">
        <v>3</v>
      </c>
      <c r="Q182" s="2" t="s">
        <v>17</v>
      </c>
    </row>
    <row r="183" spans="1:17" x14ac:dyDescent="0.3">
      <c r="A183" s="1">
        <v>42949</v>
      </c>
      <c r="B183" s="3">
        <v>120</v>
      </c>
      <c r="C183" s="3">
        <v>121</v>
      </c>
      <c r="D183" s="3">
        <v>120</v>
      </c>
      <c r="E183" s="3">
        <v>121</v>
      </c>
      <c r="F183" s="4">
        <v>5945300</v>
      </c>
      <c r="G183" s="3">
        <v>120</v>
      </c>
      <c r="H183">
        <v>0</v>
      </c>
      <c r="I183">
        <v>118</v>
      </c>
      <c r="J183">
        <v>119</v>
      </c>
      <c r="K183">
        <v>117</v>
      </c>
      <c r="L183">
        <v>0</v>
      </c>
      <c r="M183">
        <v>2017</v>
      </c>
      <c r="N183">
        <v>8</v>
      </c>
      <c r="O183">
        <v>2</v>
      </c>
      <c r="P183">
        <v>3</v>
      </c>
      <c r="Q183" s="2" t="s">
        <v>17</v>
      </c>
    </row>
    <row r="184" spans="1:17" x14ac:dyDescent="0.3">
      <c r="A184" s="1">
        <v>42950</v>
      </c>
      <c r="B184" s="3">
        <v>121</v>
      </c>
      <c r="C184" s="3">
        <v>121</v>
      </c>
      <c r="D184" s="3">
        <v>120</v>
      </c>
      <c r="E184" s="3">
        <v>120</v>
      </c>
      <c r="F184" s="4">
        <v>4275600</v>
      </c>
      <c r="G184" s="3">
        <v>121</v>
      </c>
      <c r="H184">
        <v>0</v>
      </c>
      <c r="I184">
        <v>118</v>
      </c>
      <c r="J184">
        <v>119</v>
      </c>
      <c r="K184">
        <v>117</v>
      </c>
      <c r="L184">
        <v>0</v>
      </c>
      <c r="M184">
        <v>2017</v>
      </c>
      <c r="N184">
        <v>8</v>
      </c>
      <c r="O184">
        <v>3</v>
      </c>
      <c r="P184">
        <v>3</v>
      </c>
      <c r="Q184" s="2" t="s">
        <v>17</v>
      </c>
    </row>
    <row r="185" spans="1:17" x14ac:dyDescent="0.3">
      <c r="A185" s="1">
        <v>42951</v>
      </c>
      <c r="B185" s="3">
        <v>120</v>
      </c>
      <c r="C185" s="3">
        <v>120</v>
      </c>
      <c r="D185" s="3">
        <v>119</v>
      </c>
      <c r="E185" s="3">
        <v>120</v>
      </c>
      <c r="F185" s="4">
        <v>8644800</v>
      </c>
      <c r="G185" s="3">
        <v>120</v>
      </c>
      <c r="H185">
        <v>-1</v>
      </c>
      <c r="I185">
        <v>119</v>
      </c>
      <c r="J185">
        <v>119</v>
      </c>
      <c r="K185">
        <v>117</v>
      </c>
      <c r="L185">
        <v>0</v>
      </c>
      <c r="M185">
        <v>2017</v>
      </c>
      <c r="N185">
        <v>8</v>
      </c>
      <c r="O185">
        <v>4</v>
      </c>
      <c r="P185">
        <v>3</v>
      </c>
      <c r="Q185" s="2" t="s">
        <v>17</v>
      </c>
    </row>
    <row r="186" spans="1:17" x14ac:dyDescent="0.3">
      <c r="A186" s="1">
        <v>42954</v>
      </c>
      <c r="B186" s="3">
        <v>120</v>
      </c>
      <c r="C186" s="3">
        <v>120</v>
      </c>
      <c r="D186" s="3">
        <v>119</v>
      </c>
      <c r="E186" s="3">
        <v>119</v>
      </c>
      <c r="F186" s="4">
        <v>3010100</v>
      </c>
      <c r="G186" s="3">
        <v>120</v>
      </c>
      <c r="H186">
        <v>0</v>
      </c>
      <c r="I186">
        <v>119</v>
      </c>
      <c r="J186">
        <v>119</v>
      </c>
      <c r="K186">
        <v>117</v>
      </c>
      <c r="L186">
        <v>0</v>
      </c>
      <c r="M186">
        <v>2017</v>
      </c>
      <c r="N186">
        <v>8</v>
      </c>
      <c r="O186">
        <v>0</v>
      </c>
      <c r="P186">
        <v>3</v>
      </c>
      <c r="Q186" s="2" t="s">
        <v>17</v>
      </c>
    </row>
    <row r="187" spans="1:17" x14ac:dyDescent="0.3">
      <c r="A187" s="1">
        <v>42955</v>
      </c>
      <c r="B187" s="3">
        <v>120</v>
      </c>
      <c r="C187" s="3">
        <v>120</v>
      </c>
      <c r="D187" s="3">
        <v>119</v>
      </c>
      <c r="E187" s="3">
        <v>120</v>
      </c>
      <c r="F187" s="4">
        <v>7227200</v>
      </c>
      <c r="G187" s="3">
        <v>120</v>
      </c>
      <c r="H187">
        <v>0</v>
      </c>
      <c r="I187">
        <v>119</v>
      </c>
      <c r="J187">
        <v>119</v>
      </c>
      <c r="K187">
        <v>117</v>
      </c>
      <c r="L187">
        <v>0</v>
      </c>
      <c r="M187">
        <v>2017</v>
      </c>
      <c r="N187">
        <v>8</v>
      </c>
      <c r="O187">
        <v>1</v>
      </c>
      <c r="P187">
        <v>3</v>
      </c>
      <c r="Q187" s="2" t="s">
        <v>17</v>
      </c>
    </row>
    <row r="188" spans="1:17" x14ac:dyDescent="0.3">
      <c r="A188" s="1">
        <v>42956</v>
      </c>
      <c r="B188" s="3">
        <v>121</v>
      </c>
      <c r="C188" s="3">
        <v>122</v>
      </c>
      <c r="D188" s="3">
        <v>121</v>
      </c>
      <c r="E188" s="3">
        <v>121</v>
      </c>
      <c r="F188" s="4">
        <v>9186200</v>
      </c>
      <c r="G188" s="3">
        <v>121</v>
      </c>
      <c r="H188">
        <v>1</v>
      </c>
      <c r="I188">
        <v>119</v>
      </c>
      <c r="J188">
        <v>119</v>
      </c>
      <c r="K188">
        <v>117</v>
      </c>
      <c r="L188">
        <v>0</v>
      </c>
      <c r="M188">
        <v>2017</v>
      </c>
      <c r="N188">
        <v>8</v>
      </c>
      <c r="O188">
        <v>2</v>
      </c>
      <c r="P188">
        <v>3</v>
      </c>
      <c r="Q188" s="2" t="s">
        <v>17</v>
      </c>
    </row>
    <row r="189" spans="1:17" x14ac:dyDescent="0.3">
      <c r="A189" s="1">
        <v>42957</v>
      </c>
      <c r="B189" s="3">
        <v>122</v>
      </c>
      <c r="C189" s="3">
        <v>122</v>
      </c>
      <c r="D189" s="3">
        <v>122</v>
      </c>
      <c r="E189" s="3">
        <v>122</v>
      </c>
      <c r="F189" s="4">
        <v>9817900</v>
      </c>
      <c r="G189" s="3">
        <v>122</v>
      </c>
      <c r="H189">
        <v>1</v>
      </c>
      <c r="I189">
        <v>120</v>
      </c>
      <c r="J189">
        <v>119</v>
      </c>
      <c r="K189">
        <v>117</v>
      </c>
      <c r="L189">
        <v>1</v>
      </c>
      <c r="M189">
        <v>2017</v>
      </c>
      <c r="N189">
        <v>8</v>
      </c>
      <c r="O189">
        <v>3</v>
      </c>
      <c r="P189">
        <v>3</v>
      </c>
      <c r="Q189" s="2" t="s">
        <v>17</v>
      </c>
    </row>
    <row r="190" spans="1:17" x14ac:dyDescent="0.3">
      <c r="A190" s="1">
        <v>42958</v>
      </c>
      <c r="B190" s="3">
        <v>123</v>
      </c>
      <c r="C190" s="3">
        <v>123</v>
      </c>
      <c r="D190" s="3">
        <v>122</v>
      </c>
      <c r="E190" s="3">
        <v>122</v>
      </c>
      <c r="F190" s="4">
        <v>8019500</v>
      </c>
      <c r="G190" s="3">
        <v>123</v>
      </c>
      <c r="H190">
        <v>0</v>
      </c>
      <c r="I190">
        <v>120</v>
      </c>
      <c r="J190">
        <v>119</v>
      </c>
      <c r="K190">
        <v>117</v>
      </c>
      <c r="L190">
        <v>0</v>
      </c>
      <c r="M190">
        <v>2017</v>
      </c>
      <c r="N190">
        <v>8</v>
      </c>
      <c r="O190">
        <v>4</v>
      </c>
      <c r="P190">
        <v>3</v>
      </c>
      <c r="Q190" s="2" t="s">
        <v>17</v>
      </c>
    </row>
    <row r="191" spans="1:17" x14ac:dyDescent="0.3">
      <c r="A191" s="1">
        <v>42961</v>
      </c>
      <c r="B191" s="3">
        <v>122</v>
      </c>
      <c r="C191" s="3">
        <v>122</v>
      </c>
      <c r="D191" s="3">
        <v>122</v>
      </c>
      <c r="E191" s="3">
        <v>122</v>
      </c>
      <c r="F191" s="4">
        <v>6035300</v>
      </c>
      <c r="G191" s="3">
        <v>122</v>
      </c>
      <c r="H191">
        <v>-1</v>
      </c>
      <c r="I191">
        <v>120</v>
      </c>
      <c r="J191">
        <v>119</v>
      </c>
      <c r="K191">
        <v>117</v>
      </c>
      <c r="L191">
        <v>1</v>
      </c>
      <c r="M191">
        <v>2017</v>
      </c>
      <c r="N191">
        <v>8</v>
      </c>
      <c r="O191">
        <v>0</v>
      </c>
      <c r="P191">
        <v>3</v>
      </c>
      <c r="Q191" s="2" t="s">
        <v>17</v>
      </c>
    </row>
    <row r="192" spans="1:17" x14ac:dyDescent="0.3">
      <c r="A192" s="1">
        <v>42962</v>
      </c>
      <c r="B192" s="3">
        <v>121</v>
      </c>
      <c r="C192" s="3">
        <v>121</v>
      </c>
      <c r="D192" s="3">
        <v>121</v>
      </c>
      <c r="E192" s="3">
        <v>121</v>
      </c>
      <c r="F192" s="4">
        <v>6731300</v>
      </c>
      <c r="G192" s="3">
        <v>121</v>
      </c>
      <c r="H192">
        <v>-1</v>
      </c>
      <c r="I192">
        <v>120</v>
      </c>
      <c r="J192">
        <v>119</v>
      </c>
      <c r="K192">
        <v>117</v>
      </c>
      <c r="L192">
        <v>1</v>
      </c>
      <c r="M192">
        <v>2017</v>
      </c>
      <c r="N192">
        <v>8</v>
      </c>
      <c r="O192">
        <v>1</v>
      </c>
      <c r="P192">
        <v>3</v>
      </c>
      <c r="Q192" s="2" t="s">
        <v>17</v>
      </c>
    </row>
    <row r="193" spans="1:17" x14ac:dyDescent="0.3">
      <c r="A193" s="1">
        <v>42963</v>
      </c>
      <c r="B193" s="3">
        <v>122</v>
      </c>
      <c r="C193" s="3">
        <v>122</v>
      </c>
      <c r="D193" s="3">
        <v>121</v>
      </c>
      <c r="E193" s="3">
        <v>121</v>
      </c>
      <c r="F193" s="4">
        <v>8267300</v>
      </c>
      <c r="G193" s="3">
        <v>122</v>
      </c>
      <c r="H193">
        <v>1</v>
      </c>
      <c r="I193">
        <v>120</v>
      </c>
      <c r="J193">
        <v>119</v>
      </c>
      <c r="K193">
        <v>117</v>
      </c>
      <c r="L193">
        <v>1</v>
      </c>
      <c r="M193">
        <v>2017</v>
      </c>
      <c r="N193">
        <v>8</v>
      </c>
      <c r="O193">
        <v>2</v>
      </c>
      <c r="P193">
        <v>3</v>
      </c>
      <c r="Q193" s="2" t="s">
        <v>17</v>
      </c>
    </row>
    <row r="194" spans="1:17" x14ac:dyDescent="0.3">
      <c r="A194" s="1">
        <v>42964</v>
      </c>
      <c r="B194" s="3">
        <v>122</v>
      </c>
      <c r="C194" s="3">
        <v>123</v>
      </c>
      <c r="D194" s="3">
        <v>122</v>
      </c>
      <c r="E194" s="3">
        <v>122</v>
      </c>
      <c r="F194" s="4">
        <v>8183800</v>
      </c>
      <c r="G194" s="3">
        <v>122</v>
      </c>
      <c r="H194">
        <v>1</v>
      </c>
      <c r="I194">
        <v>121</v>
      </c>
      <c r="J194">
        <v>119</v>
      </c>
      <c r="K194">
        <v>117</v>
      </c>
      <c r="L194">
        <v>1</v>
      </c>
      <c r="M194">
        <v>2017</v>
      </c>
      <c r="N194">
        <v>8</v>
      </c>
      <c r="O194">
        <v>3</v>
      </c>
      <c r="P194">
        <v>3</v>
      </c>
      <c r="Q194" s="2" t="s">
        <v>17</v>
      </c>
    </row>
    <row r="195" spans="1:17" x14ac:dyDescent="0.3">
      <c r="A195" s="1">
        <v>42965</v>
      </c>
      <c r="B195" s="3">
        <v>122</v>
      </c>
      <c r="C195" s="3">
        <v>124</v>
      </c>
      <c r="D195" s="3">
        <v>122</v>
      </c>
      <c r="E195" s="3">
        <v>123</v>
      </c>
      <c r="F195" s="4">
        <v>13654200</v>
      </c>
      <c r="G195" s="3">
        <v>122</v>
      </c>
      <c r="H195">
        <v>0</v>
      </c>
      <c r="I195">
        <v>121</v>
      </c>
      <c r="J195">
        <v>119</v>
      </c>
      <c r="K195">
        <v>117</v>
      </c>
      <c r="L195">
        <v>1</v>
      </c>
      <c r="M195">
        <v>2017</v>
      </c>
      <c r="N195">
        <v>8</v>
      </c>
      <c r="O195">
        <v>4</v>
      </c>
      <c r="P195">
        <v>3</v>
      </c>
      <c r="Q195" s="2" t="s">
        <v>17</v>
      </c>
    </row>
    <row r="196" spans="1:17" x14ac:dyDescent="0.3">
      <c r="A196" s="1">
        <v>42968</v>
      </c>
      <c r="B196" s="3">
        <v>123</v>
      </c>
      <c r="C196" s="3">
        <v>123</v>
      </c>
      <c r="D196" s="3">
        <v>123</v>
      </c>
      <c r="E196" s="3">
        <v>123</v>
      </c>
      <c r="F196" s="4">
        <v>5549700</v>
      </c>
      <c r="G196" s="3">
        <v>123</v>
      </c>
      <c r="H196">
        <v>0</v>
      </c>
      <c r="I196">
        <v>121</v>
      </c>
      <c r="J196">
        <v>119</v>
      </c>
      <c r="K196">
        <v>117</v>
      </c>
      <c r="L196">
        <v>1</v>
      </c>
      <c r="M196">
        <v>2017</v>
      </c>
      <c r="N196">
        <v>8</v>
      </c>
      <c r="O196">
        <v>0</v>
      </c>
      <c r="P196">
        <v>3</v>
      </c>
      <c r="Q196" s="2" t="s">
        <v>17</v>
      </c>
    </row>
    <row r="197" spans="1:17" x14ac:dyDescent="0.3">
      <c r="A197" s="1">
        <v>42969</v>
      </c>
      <c r="B197" s="3">
        <v>122</v>
      </c>
      <c r="C197" s="3">
        <v>123</v>
      </c>
      <c r="D197" s="3">
        <v>122</v>
      </c>
      <c r="E197" s="3">
        <v>123</v>
      </c>
      <c r="F197" s="4">
        <v>6493900</v>
      </c>
      <c r="G197" s="3">
        <v>122</v>
      </c>
      <c r="H197">
        <v>0</v>
      </c>
      <c r="I197">
        <v>121</v>
      </c>
      <c r="J197">
        <v>119</v>
      </c>
      <c r="K197">
        <v>117</v>
      </c>
      <c r="L197">
        <v>1</v>
      </c>
      <c r="M197">
        <v>2017</v>
      </c>
      <c r="N197">
        <v>8</v>
      </c>
      <c r="O197">
        <v>1</v>
      </c>
      <c r="P197">
        <v>3</v>
      </c>
      <c r="Q197" s="2" t="s">
        <v>17</v>
      </c>
    </row>
    <row r="198" spans="1:17" x14ac:dyDescent="0.3">
      <c r="A198" s="1">
        <v>42970</v>
      </c>
      <c r="B198" s="3">
        <v>123</v>
      </c>
      <c r="C198" s="3">
        <v>123</v>
      </c>
      <c r="D198" s="3">
        <v>122</v>
      </c>
      <c r="E198" s="3">
        <v>123</v>
      </c>
      <c r="F198" s="4">
        <v>5038400</v>
      </c>
      <c r="G198" s="3">
        <v>123</v>
      </c>
      <c r="H198">
        <v>0</v>
      </c>
      <c r="I198">
        <v>121</v>
      </c>
      <c r="J198">
        <v>119</v>
      </c>
      <c r="K198">
        <v>117</v>
      </c>
      <c r="L198">
        <v>1</v>
      </c>
      <c r="M198">
        <v>2017</v>
      </c>
      <c r="N198">
        <v>8</v>
      </c>
      <c r="O198">
        <v>2</v>
      </c>
      <c r="P198">
        <v>3</v>
      </c>
      <c r="Q198" s="2" t="s">
        <v>17</v>
      </c>
    </row>
    <row r="199" spans="1:17" x14ac:dyDescent="0.3">
      <c r="A199" s="1">
        <v>42971</v>
      </c>
      <c r="B199" s="3">
        <v>122</v>
      </c>
      <c r="C199" s="3">
        <v>123</v>
      </c>
      <c r="D199" s="3">
        <v>122</v>
      </c>
      <c r="E199" s="3">
        <v>122</v>
      </c>
      <c r="F199" s="4">
        <v>4193400</v>
      </c>
      <c r="G199" s="3">
        <v>122</v>
      </c>
      <c r="H199">
        <v>0</v>
      </c>
      <c r="I199">
        <v>121</v>
      </c>
      <c r="J199">
        <v>119</v>
      </c>
      <c r="K199">
        <v>117</v>
      </c>
      <c r="L199">
        <v>1</v>
      </c>
      <c r="M199">
        <v>2017</v>
      </c>
      <c r="N199">
        <v>8</v>
      </c>
      <c r="O199">
        <v>3</v>
      </c>
      <c r="P199">
        <v>3</v>
      </c>
      <c r="Q199" s="2" t="s">
        <v>17</v>
      </c>
    </row>
    <row r="200" spans="1:17" x14ac:dyDescent="0.3">
      <c r="A200" s="1">
        <v>42972</v>
      </c>
      <c r="B200" s="3">
        <v>123</v>
      </c>
      <c r="C200" s="3">
        <v>123</v>
      </c>
      <c r="D200" s="3">
        <v>121</v>
      </c>
      <c r="E200" s="3">
        <v>123</v>
      </c>
      <c r="F200" s="4">
        <v>12398200</v>
      </c>
      <c r="G200" s="3">
        <v>123</v>
      </c>
      <c r="H200">
        <v>0</v>
      </c>
      <c r="I200">
        <v>121</v>
      </c>
      <c r="J200">
        <v>119</v>
      </c>
      <c r="K200">
        <v>117</v>
      </c>
      <c r="L200">
        <v>1</v>
      </c>
      <c r="M200">
        <v>2017</v>
      </c>
      <c r="N200">
        <v>8</v>
      </c>
      <c r="O200">
        <v>4</v>
      </c>
      <c r="P200">
        <v>3</v>
      </c>
      <c r="Q200" s="2" t="s">
        <v>17</v>
      </c>
    </row>
    <row r="201" spans="1:17" x14ac:dyDescent="0.3">
      <c r="A201" s="1">
        <v>42975</v>
      </c>
      <c r="B201" s="3">
        <v>125</v>
      </c>
      <c r="C201" s="3">
        <v>125</v>
      </c>
      <c r="D201" s="3">
        <v>123</v>
      </c>
      <c r="E201" s="3">
        <v>123</v>
      </c>
      <c r="F201" s="4">
        <v>11578300</v>
      </c>
      <c r="G201" s="3">
        <v>125</v>
      </c>
      <c r="H201">
        <v>2</v>
      </c>
      <c r="I201">
        <v>122</v>
      </c>
      <c r="J201">
        <v>119</v>
      </c>
      <c r="K201">
        <v>117</v>
      </c>
      <c r="L201">
        <v>1</v>
      </c>
      <c r="M201">
        <v>2017</v>
      </c>
      <c r="N201">
        <v>8</v>
      </c>
      <c r="O201">
        <v>0</v>
      </c>
      <c r="P201">
        <v>3</v>
      </c>
      <c r="Q201" s="2" t="s">
        <v>17</v>
      </c>
    </row>
    <row r="202" spans="1:17" x14ac:dyDescent="0.3">
      <c r="A202" s="1">
        <v>42976</v>
      </c>
      <c r="B202" s="3">
        <v>124</v>
      </c>
      <c r="C202" s="3">
        <v>126</v>
      </c>
      <c r="D202" s="3">
        <v>124</v>
      </c>
      <c r="E202" s="3">
        <v>126</v>
      </c>
      <c r="F202" s="4">
        <v>9861500</v>
      </c>
      <c r="G202" s="3">
        <v>124</v>
      </c>
      <c r="H202">
        <v>0</v>
      </c>
      <c r="I202">
        <v>122</v>
      </c>
      <c r="J202">
        <v>120</v>
      </c>
      <c r="K202">
        <v>117</v>
      </c>
      <c r="L202">
        <v>1</v>
      </c>
      <c r="M202">
        <v>2017</v>
      </c>
      <c r="N202">
        <v>8</v>
      </c>
      <c r="O202">
        <v>1</v>
      </c>
      <c r="P202">
        <v>3</v>
      </c>
      <c r="Q202" s="2" t="s">
        <v>17</v>
      </c>
    </row>
    <row r="203" spans="1:17" x14ac:dyDescent="0.3">
      <c r="A203" s="1">
        <v>42977</v>
      </c>
      <c r="B203" s="3">
        <v>124</v>
      </c>
      <c r="C203" s="3">
        <v>125</v>
      </c>
      <c r="D203" s="3">
        <v>124</v>
      </c>
      <c r="E203" s="3">
        <v>124</v>
      </c>
      <c r="F203" s="4">
        <v>6328400</v>
      </c>
      <c r="G203" s="3">
        <v>124</v>
      </c>
      <c r="H203">
        <v>0</v>
      </c>
      <c r="I203">
        <v>122</v>
      </c>
      <c r="J203">
        <v>120</v>
      </c>
      <c r="K203">
        <v>117</v>
      </c>
      <c r="L203">
        <v>1</v>
      </c>
      <c r="M203">
        <v>2017</v>
      </c>
      <c r="N203">
        <v>8</v>
      </c>
      <c r="O203">
        <v>2</v>
      </c>
      <c r="P203">
        <v>3</v>
      </c>
      <c r="Q203" s="2" t="s">
        <v>17</v>
      </c>
    </row>
    <row r="204" spans="1:17" x14ac:dyDescent="0.3">
      <c r="A204" s="1">
        <v>42978</v>
      </c>
      <c r="B204" s="3">
        <v>126</v>
      </c>
      <c r="C204" s="3">
        <v>126</v>
      </c>
      <c r="D204" s="3">
        <v>125</v>
      </c>
      <c r="E204" s="3">
        <v>125</v>
      </c>
      <c r="F204" s="4">
        <v>11775500</v>
      </c>
      <c r="G204" s="3">
        <v>126</v>
      </c>
      <c r="H204">
        <v>1</v>
      </c>
      <c r="I204">
        <v>122</v>
      </c>
      <c r="J204">
        <v>120</v>
      </c>
      <c r="K204">
        <v>117</v>
      </c>
      <c r="L204">
        <v>1</v>
      </c>
      <c r="M204">
        <v>2017</v>
      </c>
      <c r="N204">
        <v>8</v>
      </c>
      <c r="O204">
        <v>3</v>
      </c>
      <c r="P204">
        <v>3</v>
      </c>
      <c r="Q204" s="2" t="s">
        <v>17</v>
      </c>
    </row>
    <row r="205" spans="1:17" x14ac:dyDescent="0.3">
      <c r="A205" s="1">
        <v>42979</v>
      </c>
      <c r="B205" s="3">
        <v>126</v>
      </c>
      <c r="C205" s="3">
        <v>126</v>
      </c>
      <c r="D205" s="3">
        <v>125</v>
      </c>
      <c r="E205" s="3">
        <v>126</v>
      </c>
      <c r="F205" s="4">
        <v>11567400</v>
      </c>
      <c r="G205" s="3">
        <v>126</v>
      </c>
      <c r="H205">
        <v>0</v>
      </c>
      <c r="I205">
        <v>123</v>
      </c>
      <c r="J205">
        <v>120</v>
      </c>
      <c r="K205">
        <v>117</v>
      </c>
      <c r="L205">
        <v>1</v>
      </c>
      <c r="M205">
        <v>2017</v>
      </c>
      <c r="N205">
        <v>9</v>
      </c>
      <c r="O205">
        <v>4</v>
      </c>
      <c r="P205">
        <v>3</v>
      </c>
      <c r="Q205" s="2" t="s">
        <v>17</v>
      </c>
    </row>
    <row r="206" spans="1:17" x14ac:dyDescent="0.3">
      <c r="A206" s="1">
        <v>42983</v>
      </c>
      <c r="B206" s="3">
        <v>127</v>
      </c>
      <c r="C206" s="3">
        <v>128</v>
      </c>
      <c r="D206" s="3">
        <v>127</v>
      </c>
      <c r="E206" s="3">
        <v>127</v>
      </c>
      <c r="F206" s="4">
        <v>11813100</v>
      </c>
      <c r="G206" s="3">
        <v>127</v>
      </c>
      <c r="H206">
        <v>1</v>
      </c>
      <c r="I206">
        <v>123</v>
      </c>
      <c r="J206">
        <v>120</v>
      </c>
      <c r="K206">
        <v>117</v>
      </c>
      <c r="L206">
        <v>1</v>
      </c>
      <c r="M206">
        <v>2017</v>
      </c>
      <c r="N206">
        <v>9</v>
      </c>
      <c r="O206">
        <v>1</v>
      </c>
      <c r="P206">
        <v>3</v>
      </c>
      <c r="Q206" s="2" t="s">
        <v>17</v>
      </c>
    </row>
    <row r="207" spans="1:17" x14ac:dyDescent="0.3">
      <c r="A207" s="1">
        <v>42984</v>
      </c>
      <c r="B207" s="3">
        <v>127</v>
      </c>
      <c r="C207" s="3">
        <v>127</v>
      </c>
      <c r="D207" s="3">
        <v>127</v>
      </c>
      <c r="E207" s="3">
        <v>127</v>
      </c>
      <c r="F207" s="4">
        <v>10059300</v>
      </c>
      <c r="G207" s="3">
        <v>127</v>
      </c>
      <c r="H207">
        <v>-1</v>
      </c>
      <c r="I207">
        <v>123</v>
      </c>
      <c r="J207">
        <v>120</v>
      </c>
      <c r="K207">
        <v>118</v>
      </c>
      <c r="L207">
        <v>1</v>
      </c>
      <c r="M207">
        <v>2017</v>
      </c>
      <c r="N207">
        <v>9</v>
      </c>
      <c r="O207">
        <v>2</v>
      </c>
      <c r="P207">
        <v>3</v>
      </c>
      <c r="Q207" s="2" t="s">
        <v>17</v>
      </c>
    </row>
    <row r="208" spans="1:17" x14ac:dyDescent="0.3">
      <c r="A208" s="1">
        <v>42985</v>
      </c>
      <c r="B208" s="3">
        <v>128</v>
      </c>
      <c r="C208" s="3">
        <v>128</v>
      </c>
      <c r="D208" s="3">
        <v>127</v>
      </c>
      <c r="E208" s="3">
        <v>128</v>
      </c>
      <c r="F208" s="4">
        <v>10219700</v>
      </c>
      <c r="G208" s="3">
        <v>128</v>
      </c>
      <c r="H208">
        <v>1</v>
      </c>
      <c r="I208">
        <v>124</v>
      </c>
      <c r="J208">
        <v>121</v>
      </c>
      <c r="K208">
        <v>118</v>
      </c>
      <c r="L208">
        <v>1</v>
      </c>
      <c r="M208">
        <v>2017</v>
      </c>
      <c r="N208">
        <v>9</v>
      </c>
      <c r="O208">
        <v>3</v>
      </c>
      <c r="P208">
        <v>3</v>
      </c>
      <c r="Q208" s="2" t="s">
        <v>17</v>
      </c>
    </row>
    <row r="209" spans="1:17" x14ac:dyDescent="0.3">
      <c r="A209" s="1">
        <v>42986</v>
      </c>
      <c r="B209" s="3">
        <v>128</v>
      </c>
      <c r="C209" s="3">
        <v>128</v>
      </c>
      <c r="D209" s="3">
        <v>128</v>
      </c>
      <c r="E209" s="3">
        <v>128</v>
      </c>
      <c r="F209" s="4">
        <v>9020000</v>
      </c>
      <c r="G209" s="3">
        <v>128</v>
      </c>
      <c r="H209">
        <v>0</v>
      </c>
      <c r="I209">
        <v>124</v>
      </c>
      <c r="J209">
        <v>121</v>
      </c>
      <c r="K209">
        <v>118</v>
      </c>
      <c r="L209">
        <v>1</v>
      </c>
      <c r="M209">
        <v>2017</v>
      </c>
      <c r="N209">
        <v>9</v>
      </c>
      <c r="O209">
        <v>4</v>
      </c>
      <c r="P209">
        <v>3</v>
      </c>
      <c r="Q209" s="2" t="s">
        <v>17</v>
      </c>
    </row>
    <row r="210" spans="1:17" x14ac:dyDescent="0.3">
      <c r="A210" s="1">
        <v>42989</v>
      </c>
      <c r="B210" s="3">
        <v>126</v>
      </c>
      <c r="C210" s="3">
        <v>127</v>
      </c>
      <c r="D210" s="3">
        <v>126</v>
      </c>
      <c r="E210" s="3">
        <v>127</v>
      </c>
      <c r="F210" s="4">
        <v>9126600</v>
      </c>
      <c r="G210" s="3">
        <v>126</v>
      </c>
      <c r="H210">
        <v>-1</v>
      </c>
      <c r="I210">
        <v>124</v>
      </c>
      <c r="J210">
        <v>121</v>
      </c>
      <c r="K210">
        <v>118</v>
      </c>
      <c r="L210">
        <v>1</v>
      </c>
      <c r="M210">
        <v>2017</v>
      </c>
      <c r="N210">
        <v>9</v>
      </c>
      <c r="O210">
        <v>0</v>
      </c>
      <c r="P210">
        <v>3</v>
      </c>
      <c r="Q210" s="2" t="s">
        <v>17</v>
      </c>
    </row>
    <row r="211" spans="1:17" x14ac:dyDescent="0.3">
      <c r="A211" s="1">
        <v>42990</v>
      </c>
      <c r="B211" s="3">
        <v>127</v>
      </c>
      <c r="C211" s="3">
        <v>127</v>
      </c>
      <c r="D211" s="3">
        <v>126</v>
      </c>
      <c r="E211" s="3">
        <v>126</v>
      </c>
      <c r="F211" s="4">
        <v>8349000</v>
      </c>
      <c r="G211" s="3">
        <v>127</v>
      </c>
      <c r="H211">
        <v>0</v>
      </c>
      <c r="I211">
        <v>124</v>
      </c>
      <c r="J211">
        <v>121</v>
      </c>
      <c r="K211">
        <v>118</v>
      </c>
      <c r="L211">
        <v>1</v>
      </c>
      <c r="M211">
        <v>2017</v>
      </c>
      <c r="N211">
        <v>9</v>
      </c>
      <c r="O211">
        <v>1</v>
      </c>
      <c r="P211">
        <v>3</v>
      </c>
      <c r="Q211" s="2" t="s">
        <v>17</v>
      </c>
    </row>
    <row r="212" spans="1:17" x14ac:dyDescent="0.3">
      <c r="A212" s="1">
        <v>42991</v>
      </c>
      <c r="B212" s="3">
        <v>126</v>
      </c>
      <c r="C212" s="3">
        <v>126</v>
      </c>
      <c r="D212" s="3">
        <v>126</v>
      </c>
      <c r="E212" s="3">
        <v>126</v>
      </c>
      <c r="F212" s="4">
        <v>8491000</v>
      </c>
      <c r="G212" s="3">
        <v>126</v>
      </c>
      <c r="H212">
        <v>-1</v>
      </c>
      <c r="I212">
        <v>125</v>
      </c>
      <c r="J212">
        <v>121</v>
      </c>
      <c r="K212">
        <v>118</v>
      </c>
      <c r="L212">
        <v>1</v>
      </c>
      <c r="M212">
        <v>2017</v>
      </c>
      <c r="N212">
        <v>9</v>
      </c>
      <c r="O212">
        <v>2</v>
      </c>
      <c r="P212">
        <v>3</v>
      </c>
      <c r="Q212" s="2" t="s">
        <v>17</v>
      </c>
    </row>
    <row r="213" spans="1:17" x14ac:dyDescent="0.3">
      <c r="A213" s="1">
        <v>42992</v>
      </c>
      <c r="B213" s="3">
        <v>126</v>
      </c>
      <c r="C213" s="3">
        <v>126</v>
      </c>
      <c r="D213" s="3">
        <v>126</v>
      </c>
      <c r="E213" s="3">
        <v>126</v>
      </c>
      <c r="F213" s="4">
        <v>5330700</v>
      </c>
      <c r="G213" s="3">
        <v>126</v>
      </c>
      <c r="H213">
        <v>0</v>
      </c>
      <c r="I213">
        <v>125</v>
      </c>
      <c r="J213">
        <v>121</v>
      </c>
      <c r="K213">
        <v>118</v>
      </c>
      <c r="L213">
        <v>1</v>
      </c>
      <c r="M213">
        <v>2017</v>
      </c>
      <c r="N213">
        <v>9</v>
      </c>
      <c r="O213">
        <v>3</v>
      </c>
      <c r="P213">
        <v>3</v>
      </c>
      <c r="Q213" s="2" t="s">
        <v>17</v>
      </c>
    </row>
    <row r="214" spans="1:17" x14ac:dyDescent="0.3">
      <c r="A214" s="1">
        <v>42993</v>
      </c>
      <c r="B214" s="3">
        <v>126</v>
      </c>
      <c r="C214" s="3">
        <v>126</v>
      </c>
      <c r="D214" s="3">
        <v>125</v>
      </c>
      <c r="E214" s="3">
        <v>126</v>
      </c>
      <c r="F214" s="4">
        <v>8375100</v>
      </c>
      <c r="G214" s="3">
        <v>126</v>
      </c>
      <c r="H214">
        <v>0</v>
      </c>
      <c r="I214">
        <v>125</v>
      </c>
      <c r="J214">
        <v>122</v>
      </c>
      <c r="K214">
        <v>118</v>
      </c>
      <c r="L214">
        <v>1</v>
      </c>
      <c r="M214">
        <v>2017</v>
      </c>
      <c r="N214">
        <v>9</v>
      </c>
      <c r="O214">
        <v>4</v>
      </c>
      <c r="P214">
        <v>3</v>
      </c>
      <c r="Q214" s="2" t="s">
        <v>17</v>
      </c>
    </row>
    <row r="215" spans="1:17" x14ac:dyDescent="0.3">
      <c r="A215" s="1">
        <v>42996</v>
      </c>
      <c r="B215" s="3">
        <v>124</v>
      </c>
      <c r="C215" s="3">
        <v>125</v>
      </c>
      <c r="D215" s="3">
        <v>124</v>
      </c>
      <c r="E215" s="3">
        <v>125</v>
      </c>
      <c r="F215" s="4">
        <v>8859800</v>
      </c>
      <c r="G215" s="3">
        <v>124</v>
      </c>
      <c r="H215">
        <v>-1</v>
      </c>
      <c r="I215">
        <v>125</v>
      </c>
      <c r="J215">
        <v>122</v>
      </c>
      <c r="K215">
        <v>118</v>
      </c>
      <c r="L215">
        <v>1</v>
      </c>
      <c r="M215">
        <v>2017</v>
      </c>
      <c r="N215">
        <v>9</v>
      </c>
      <c r="O215">
        <v>0</v>
      </c>
      <c r="P215">
        <v>3</v>
      </c>
      <c r="Q215" s="2" t="s">
        <v>17</v>
      </c>
    </row>
    <row r="216" spans="1:17" x14ac:dyDescent="0.3">
      <c r="A216" s="1">
        <v>42997</v>
      </c>
      <c r="B216" s="3">
        <v>125</v>
      </c>
      <c r="C216" s="3">
        <v>125</v>
      </c>
      <c r="D216" s="3">
        <v>124</v>
      </c>
      <c r="E216" s="3">
        <v>124</v>
      </c>
      <c r="F216" s="4">
        <v>5826500</v>
      </c>
      <c r="G216" s="3">
        <v>125</v>
      </c>
      <c r="H216">
        <v>0</v>
      </c>
      <c r="I216">
        <v>125</v>
      </c>
      <c r="J216">
        <v>122</v>
      </c>
      <c r="K216">
        <v>118</v>
      </c>
      <c r="L216">
        <v>1</v>
      </c>
      <c r="M216">
        <v>2017</v>
      </c>
      <c r="N216">
        <v>9</v>
      </c>
      <c r="O216">
        <v>1</v>
      </c>
      <c r="P216">
        <v>3</v>
      </c>
      <c r="Q216" s="2" t="s">
        <v>17</v>
      </c>
    </row>
    <row r="217" spans="1:17" x14ac:dyDescent="0.3">
      <c r="A217" s="1">
        <v>42998</v>
      </c>
      <c r="B217" s="3">
        <v>124</v>
      </c>
      <c r="C217" s="3">
        <v>125</v>
      </c>
      <c r="D217" s="3">
        <v>123</v>
      </c>
      <c r="E217" s="3">
        <v>125</v>
      </c>
      <c r="F217" s="4">
        <v>11415400</v>
      </c>
      <c r="G217" s="3">
        <v>124</v>
      </c>
      <c r="H217">
        <v>-1</v>
      </c>
      <c r="I217">
        <v>125</v>
      </c>
      <c r="J217">
        <v>122</v>
      </c>
      <c r="K217">
        <v>118</v>
      </c>
      <c r="L217">
        <v>1</v>
      </c>
      <c r="M217">
        <v>2017</v>
      </c>
      <c r="N217">
        <v>9</v>
      </c>
      <c r="O217">
        <v>2</v>
      </c>
      <c r="P217">
        <v>3</v>
      </c>
      <c r="Q217" s="2" t="s">
        <v>17</v>
      </c>
    </row>
    <row r="218" spans="1:17" x14ac:dyDescent="0.3">
      <c r="A218" s="1">
        <v>42999</v>
      </c>
      <c r="B218" s="3">
        <v>123</v>
      </c>
      <c r="C218" s="3">
        <v>123</v>
      </c>
      <c r="D218" s="3">
        <v>122</v>
      </c>
      <c r="E218" s="3">
        <v>123</v>
      </c>
      <c r="F218" s="4">
        <v>7757900</v>
      </c>
      <c r="G218" s="3">
        <v>123</v>
      </c>
      <c r="H218">
        <v>-1</v>
      </c>
      <c r="I218">
        <v>125</v>
      </c>
      <c r="J218">
        <v>122</v>
      </c>
      <c r="K218">
        <v>118</v>
      </c>
      <c r="L218">
        <v>1</v>
      </c>
      <c r="M218">
        <v>2017</v>
      </c>
      <c r="N218">
        <v>9</v>
      </c>
      <c r="O218">
        <v>3</v>
      </c>
      <c r="P218">
        <v>3</v>
      </c>
      <c r="Q218" s="2" t="s">
        <v>17</v>
      </c>
    </row>
    <row r="219" spans="1:17" x14ac:dyDescent="0.3">
      <c r="A219" s="1">
        <v>43000</v>
      </c>
      <c r="B219" s="3">
        <v>123</v>
      </c>
      <c r="C219" s="3">
        <v>123</v>
      </c>
      <c r="D219" s="3">
        <v>123</v>
      </c>
      <c r="E219" s="3">
        <v>123</v>
      </c>
      <c r="F219" s="4">
        <v>6011900</v>
      </c>
      <c r="G219" s="3">
        <v>123</v>
      </c>
      <c r="H219">
        <v>0</v>
      </c>
      <c r="I219">
        <v>125</v>
      </c>
      <c r="J219">
        <v>122</v>
      </c>
      <c r="K219">
        <v>118</v>
      </c>
      <c r="L219">
        <v>1</v>
      </c>
      <c r="M219">
        <v>2017</v>
      </c>
      <c r="N219">
        <v>9</v>
      </c>
      <c r="O219">
        <v>4</v>
      </c>
      <c r="P219">
        <v>3</v>
      </c>
      <c r="Q219" s="2" t="s">
        <v>17</v>
      </c>
    </row>
    <row r="220" spans="1:17" x14ac:dyDescent="0.3">
      <c r="A220" s="1">
        <v>43003</v>
      </c>
      <c r="B220" s="3">
        <v>125</v>
      </c>
      <c r="C220" s="3">
        <v>125</v>
      </c>
      <c r="D220" s="3">
        <v>123</v>
      </c>
      <c r="E220" s="3">
        <v>123</v>
      </c>
      <c r="F220" s="4">
        <v>10257200</v>
      </c>
      <c r="G220" s="3">
        <v>125</v>
      </c>
      <c r="H220">
        <v>1</v>
      </c>
      <c r="I220">
        <v>125</v>
      </c>
      <c r="J220">
        <v>123</v>
      </c>
      <c r="K220">
        <v>118</v>
      </c>
      <c r="L220">
        <v>1</v>
      </c>
      <c r="M220">
        <v>2017</v>
      </c>
      <c r="N220">
        <v>9</v>
      </c>
      <c r="O220">
        <v>0</v>
      </c>
      <c r="P220">
        <v>3</v>
      </c>
      <c r="Q220" s="2" t="s">
        <v>17</v>
      </c>
    </row>
    <row r="221" spans="1:17" x14ac:dyDescent="0.3">
      <c r="A221" s="1">
        <v>43004</v>
      </c>
      <c r="B221" s="3">
        <v>123</v>
      </c>
      <c r="C221" s="3">
        <v>124</v>
      </c>
      <c r="D221" s="3">
        <v>123</v>
      </c>
      <c r="E221" s="3">
        <v>124</v>
      </c>
      <c r="F221" s="4">
        <v>8673600</v>
      </c>
      <c r="G221" s="3">
        <v>123</v>
      </c>
      <c r="H221">
        <v>-1</v>
      </c>
      <c r="I221">
        <v>125</v>
      </c>
      <c r="J221">
        <v>123</v>
      </c>
      <c r="K221">
        <v>118</v>
      </c>
      <c r="L221">
        <v>1</v>
      </c>
      <c r="M221">
        <v>2017</v>
      </c>
      <c r="N221">
        <v>9</v>
      </c>
      <c r="O221">
        <v>1</v>
      </c>
      <c r="P221">
        <v>3</v>
      </c>
      <c r="Q221" s="2" t="s">
        <v>17</v>
      </c>
    </row>
    <row r="222" spans="1:17" x14ac:dyDescent="0.3">
      <c r="A222" s="1">
        <v>43005</v>
      </c>
      <c r="B222" s="3">
        <v>122</v>
      </c>
      <c r="C222" s="3">
        <v>123</v>
      </c>
      <c r="D222" s="3">
        <v>122</v>
      </c>
      <c r="E222" s="3">
        <v>122</v>
      </c>
      <c r="F222" s="4">
        <v>6903900</v>
      </c>
      <c r="G222" s="3">
        <v>122</v>
      </c>
      <c r="H222">
        <v>-1</v>
      </c>
      <c r="I222">
        <v>125</v>
      </c>
      <c r="J222">
        <v>123</v>
      </c>
      <c r="K222">
        <v>118</v>
      </c>
      <c r="L222">
        <v>1</v>
      </c>
      <c r="M222">
        <v>2017</v>
      </c>
      <c r="N222">
        <v>9</v>
      </c>
      <c r="O222">
        <v>2</v>
      </c>
      <c r="P222">
        <v>3</v>
      </c>
      <c r="Q222" s="2" t="s">
        <v>17</v>
      </c>
    </row>
    <row r="223" spans="1:17" x14ac:dyDescent="0.3">
      <c r="A223" s="1">
        <v>43006</v>
      </c>
      <c r="B223" s="3">
        <v>122</v>
      </c>
      <c r="C223" s="3">
        <v>122</v>
      </c>
      <c r="D223" s="3">
        <v>122</v>
      </c>
      <c r="E223" s="3">
        <v>122</v>
      </c>
      <c r="F223" s="4">
        <v>5968200</v>
      </c>
      <c r="G223" s="3">
        <v>122</v>
      </c>
      <c r="H223">
        <v>0</v>
      </c>
      <c r="I223">
        <v>125</v>
      </c>
      <c r="J223">
        <v>123</v>
      </c>
      <c r="K223">
        <v>118</v>
      </c>
      <c r="L223">
        <v>1</v>
      </c>
      <c r="M223">
        <v>2017</v>
      </c>
      <c r="N223">
        <v>9</v>
      </c>
      <c r="O223">
        <v>3</v>
      </c>
      <c r="P223">
        <v>3</v>
      </c>
      <c r="Q223" s="2" t="s">
        <v>17</v>
      </c>
    </row>
    <row r="224" spans="1:17" x14ac:dyDescent="0.3">
      <c r="A224" s="1">
        <v>43007</v>
      </c>
      <c r="B224" s="3">
        <v>122</v>
      </c>
      <c r="C224" s="3">
        <v>122</v>
      </c>
      <c r="D224" s="3">
        <v>122</v>
      </c>
      <c r="E224" s="3">
        <v>122</v>
      </c>
      <c r="F224" s="4">
        <v>10208000</v>
      </c>
      <c r="G224" s="3">
        <v>122</v>
      </c>
      <c r="H224">
        <v>-1</v>
      </c>
      <c r="I224">
        <v>125</v>
      </c>
      <c r="J224">
        <v>123</v>
      </c>
      <c r="K224">
        <v>119</v>
      </c>
      <c r="L224">
        <v>1</v>
      </c>
      <c r="M224">
        <v>2017</v>
      </c>
      <c r="N224">
        <v>9</v>
      </c>
      <c r="O224">
        <v>4</v>
      </c>
      <c r="P224">
        <v>3</v>
      </c>
      <c r="Q224" s="2" t="s">
        <v>17</v>
      </c>
    </row>
    <row r="225" spans="1:17" x14ac:dyDescent="0.3">
      <c r="A225" s="1">
        <v>43010</v>
      </c>
      <c r="B225" s="3">
        <v>121</v>
      </c>
      <c r="C225" s="3">
        <v>121</v>
      </c>
      <c r="D225" s="3">
        <v>121</v>
      </c>
      <c r="E225" s="3">
        <v>121</v>
      </c>
      <c r="F225" s="4">
        <v>11755400</v>
      </c>
      <c r="G225" s="3">
        <v>121</v>
      </c>
      <c r="H225">
        <v>-1</v>
      </c>
      <c r="I225">
        <v>125</v>
      </c>
      <c r="J225">
        <v>123</v>
      </c>
      <c r="K225">
        <v>119</v>
      </c>
      <c r="L225">
        <v>1</v>
      </c>
      <c r="M225">
        <v>2017</v>
      </c>
      <c r="N225">
        <v>10</v>
      </c>
      <c r="O225">
        <v>0</v>
      </c>
      <c r="P225">
        <v>4</v>
      </c>
      <c r="Q225" s="2" t="s">
        <v>17</v>
      </c>
    </row>
    <row r="226" spans="1:17" x14ac:dyDescent="0.3">
      <c r="A226" s="1">
        <v>43011</v>
      </c>
      <c r="B226" s="3">
        <v>121</v>
      </c>
      <c r="C226" s="3">
        <v>121</v>
      </c>
      <c r="D226" s="3">
        <v>121</v>
      </c>
      <c r="E226" s="3">
        <v>121</v>
      </c>
      <c r="F226" s="4">
        <v>3728700</v>
      </c>
      <c r="G226" s="3">
        <v>121</v>
      </c>
      <c r="H226">
        <v>0</v>
      </c>
      <c r="I226">
        <v>124</v>
      </c>
      <c r="J226">
        <v>123</v>
      </c>
      <c r="K226">
        <v>119</v>
      </c>
      <c r="L226">
        <v>1</v>
      </c>
      <c r="M226">
        <v>2017</v>
      </c>
      <c r="N226">
        <v>10</v>
      </c>
      <c r="O226">
        <v>1</v>
      </c>
      <c r="P226">
        <v>4</v>
      </c>
      <c r="Q226" s="2" t="s">
        <v>17</v>
      </c>
    </row>
    <row r="227" spans="1:17" x14ac:dyDescent="0.3">
      <c r="A227" s="1">
        <v>43012</v>
      </c>
      <c r="B227" s="3">
        <v>121</v>
      </c>
      <c r="C227" s="3">
        <v>121</v>
      </c>
      <c r="D227" s="3">
        <v>121</v>
      </c>
      <c r="E227" s="3">
        <v>121</v>
      </c>
      <c r="F227" s="4">
        <v>6475200</v>
      </c>
      <c r="G227" s="3">
        <v>121</v>
      </c>
      <c r="H227">
        <v>0</v>
      </c>
      <c r="I227">
        <v>124</v>
      </c>
      <c r="J227">
        <v>123</v>
      </c>
      <c r="K227">
        <v>119</v>
      </c>
      <c r="L227">
        <v>1</v>
      </c>
      <c r="M227">
        <v>2017</v>
      </c>
      <c r="N227">
        <v>10</v>
      </c>
      <c r="O227">
        <v>2</v>
      </c>
      <c r="P227">
        <v>4</v>
      </c>
      <c r="Q227" s="2" t="s">
        <v>17</v>
      </c>
    </row>
    <row r="228" spans="1:17" x14ac:dyDescent="0.3">
      <c r="A228" s="1">
        <v>43013</v>
      </c>
      <c r="B228" s="3">
        <v>121</v>
      </c>
      <c r="C228" s="3">
        <v>121</v>
      </c>
      <c r="D228" s="3">
        <v>120</v>
      </c>
      <c r="E228" s="3">
        <v>121</v>
      </c>
      <c r="F228" s="4">
        <v>6205400</v>
      </c>
      <c r="G228" s="3">
        <v>121</v>
      </c>
      <c r="H228">
        <v>-1</v>
      </c>
      <c r="I228">
        <v>124</v>
      </c>
      <c r="J228">
        <v>123</v>
      </c>
      <c r="K228">
        <v>119</v>
      </c>
      <c r="L228">
        <v>1</v>
      </c>
      <c r="M228">
        <v>2017</v>
      </c>
      <c r="N228">
        <v>10</v>
      </c>
      <c r="O228">
        <v>3</v>
      </c>
      <c r="P228">
        <v>4</v>
      </c>
      <c r="Q228" s="2" t="s">
        <v>17</v>
      </c>
    </row>
    <row r="229" spans="1:17" x14ac:dyDescent="0.3">
      <c r="A229" s="1">
        <v>43014</v>
      </c>
      <c r="B229" s="3">
        <v>121</v>
      </c>
      <c r="C229" s="3">
        <v>121</v>
      </c>
      <c r="D229" s="3">
        <v>120</v>
      </c>
      <c r="E229" s="3">
        <v>120</v>
      </c>
      <c r="F229" s="4">
        <v>10013300</v>
      </c>
      <c r="G229" s="3">
        <v>121</v>
      </c>
      <c r="H229">
        <v>0</v>
      </c>
      <c r="I229">
        <v>123</v>
      </c>
      <c r="J229">
        <v>123</v>
      </c>
      <c r="K229">
        <v>119</v>
      </c>
      <c r="L229">
        <v>1</v>
      </c>
      <c r="M229">
        <v>2017</v>
      </c>
      <c r="N229">
        <v>10</v>
      </c>
      <c r="O229">
        <v>4</v>
      </c>
      <c r="P229">
        <v>4</v>
      </c>
      <c r="Q229" s="2" t="s">
        <v>17</v>
      </c>
    </row>
    <row r="230" spans="1:17" x14ac:dyDescent="0.3">
      <c r="A230" s="1">
        <v>43017</v>
      </c>
      <c r="B230" s="3">
        <v>122</v>
      </c>
      <c r="C230" s="3">
        <v>122</v>
      </c>
      <c r="D230" s="3">
        <v>122</v>
      </c>
      <c r="E230" s="3">
        <v>122</v>
      </c>
      <c r="F230" s="4">
        <v>5264100</v>
      </c>
      <c r="G230" s="3">
        <v>122</v>
      </c>
      <c r="H230">
        <v>1</v>
      </c>
      <c r="I230">
        <v>123</v>
      </c>
      <c r="J230">
        <v>123</v>
      </c>
      <c r="K230">
        <v>119</v>
      </c>
      <c r="L230">
        <v>1</v>
      </c>
      <c r="M230">
        <v>2017</v>
      </c>
      <c r="N230">
        <v>10</v>
      </c>
      <c r="O230">
        <v>0</v>
      </c>
      <c r="P230">
        <v>4</v>
      </c>
      <c r="Q230" s="2" t="s">
        <v>17</v>
      </c>
    </row>
    <row r="231" spans="1:17" x14ac:dyDescent="0.3">
      <c r="A231" s="1">
        <v>43018</v>
      </c>
      <c r="B231" s="3">
        <v>122</v>
      </c>
      <c r="C231" s="3">
        <v>123</v>
      </c>
      <c r="D231" s="3">
        <v>122</v>
      </c>
      <c r="E231" s="3">
        <v>123</v>
      </c>
      <c r="F231" s="4">
        <v>9315500</v>
      </c>
      <c r="G231" s="3">
        <v>122</v>
      </c>
      <c r="H231">
        <v>0</v>
      </c>
      <c r="I231">
        <v>123</v>
      </c>
      <c r="J231">
        <v>123</v>
      </c>
      <c r="K231">
        <v>119</v>
      </c>
      <c r="L231">
        <v>1</v>
      </c>
      <c r="M231">
        <v>2017</v>
      </c>
      <c r="N231">
        <v>10</v>
      </c>
      <c r="O231">
        <v>1</v>
      </c>
      <c r="P231">
        <v>4</v>
      </c>
      <c r="Q231" s="2" t="s">
        <v>17</v>
      </c>
    </row>
    <row r="232" spans="1:17" x14ac:dyDescent="0.3">
      <c r="A232" s="1">
        <v>43019</v>
      </c>
      <c r="B232" s="3">
        <v>123</v>
      </c>
      <c r="C232" s="3">
        <v>123</v>
      </c>
      <c r="D232" s="3">
        <v>122</v>
      </c>
      <c r="E232" s="3">
        <v>123</v>
      </c>
      <c r="F232" s="4">
        <v>5649400</v>
      </c>
      <c r="G232" s="3">
        <v>123</v>
      </c>
      <c r="H232">
        <v>0</v>
      </c>
      <c r="I232">
        <v>123</v>
      </c>
      <c r="J232">
        <v>123</v>
      </c>
      <c r="K232">
        <v>119</v>
      </c>
      <c r="L232">
        <v>1</v>
      </c>
      <c r="M232">
        <v>2017</v>
      </c>
      <c r="N232">
        <v>10</v>
      </c>
      <c r="O232">
        <v>2</v>
      </c>
      <c r="P232">
        <v>4</v>
      </c>
      <c r="Q232" s="2" t="s">
        <v>17</v>
      </c>
    </row>
    <row r="233" spans="1:17" x14ac:dyDescent="0.3">
      <c r="A233" s="1">
        <v>43020</v>
      </c>
      <c r="B233" s="3">
        <v>123</v>
      </c>
      <c r="C233" s="3">
        <v>123</v>
      </c>
      <c r="D233" s="3">
        <v>123</v>
      </c>
      <c r="E233" s="3">
        <v>123</v>
      </c>
      <c r="F233" s="4">
        <v>3037600</v>
      </c>
      <c r="G233" s="3">
        <v>123</v>
      </c>
      <c r="H233">
        <v>0</v>
      </c>
      <c r="I233">
        <v>123</v>
      </c>
      <c r="J233">
        <v>123</v>
      </c>
      <c r="K233">
        <v>119</v>
      </c>
      <c r="L233">
        <v>1</v>
      </c>
      <c r="M233">
        <v>2017</v>
      </c>
      <c r="N233">
        <v>10</v>
      </c>
      <c r="O233">
        <v>3</v>
      </c>
      <c r="P233">
        <v>4</v>
      </c>
      <c r="Q233" s="2" t="s">
        <v>17</v>
      </c>
    </row>
    <row r="234" spans="1:17" x14ac:dyDescent="0.3">
      <c r="A234" s="1">
        <v>43021</v>
      </c>
      <c r="B234" s="3">
        <v>124</v>
      </c>
      <c r="C234" s="3">
        <v>124</v>
      </c>
      <c r="D234" s="3">
        <v>123</v>
      </c>
      <c r="E234" s="3">
        <v>124</v>
      </c>
      <c r="F234" s="4">
        <v>6820300</v>
      </c>
      <c r="G234" s="3">
        <v>124</v>
      </c>
      <c r="H234">
        <v>1</v>
      </c>
      <c r="I234">
        <v>123</v>
      </c>
      <c r="J234">
        <v>123</v>
      </c>
      <c r="K234">
        <v>119</v>
      </c>
      <c r="L234">
        <v>1</v>
      </c>
      <c r="M234">
        <v>2017</v>
      </c>
      <c r="N234">
        <v>10</v>
      </c>
      <c r="O234">
        <v>4</v>
      </c>
      <c r="P234">
        <v>4</v>
      </c>
      <c r="Q234" s="2" t="s">
        <v>17</v>
      </c>
    </row>
    <row r="235" spans="1:17" x14ac:dyDescent="0.3">
      <c r="A235" s="1">
        <v>43024</v>
      </c>
      <c r="B235" s="3">
        <v>123</v>
      </c>
      <c r="C235" s="3">
        <v>124</v>
      </c>
      <c r="D235" s="3">
        <v>123</v>
      </c>
      <c r="E235" s="3">
        <v>124</v>
      </c>
      <c r="F235" s="4">
        <v>8202000</v>
      </c>
      <c r="G235" s="3">
        <v>123</v>
      </c>
      <c r="H235">
        <v>-1</v>
      </c>
      <c r="I235">
        <v>122</v>
      </c>
      <c r="J235">
        <v>123</v>
      </c>
      <c r="K235">
        <v>119</v>
      </c>
      <c r="L235">
        <v>1</v>
      </c>
      <c r="M235">
        <v>2017</v>
      </c>
      <c r="N235">
        <v>10</v>
      </c>
      <c r="O235">
        <v>0</v>
      </c>
      <c r="P235">
        <v>4</v>
      </c>
      <c r="Q235" s="2" t="s">
        <v>17</v>
      </c>
    </row>
    <row r="236" spans="1:17" x14ac:dyDescent="0.3">
      <c r="A236" s="1">
        <v>43025</v>
      </c>
      <c r="B236" s="3">
        <v>122</v>
      </c>
      <c r="C236" s="3">
        <v>122</v>
      </c>
      <c r="D236" s="3">
        <v>122</v>
      </c>
      <c r="E236" s="3">
        <v>122</v>
      </c>
      <c r="F236" s="4">
        <v>7041300</v>
      </c>
      <c r="G236" s="3">
        <v>122</v>
      </c>
      <c r="H236">
        <v>-1</v>
      </c>
      <c r="I236">
        <v>122</v>
      </c>
      <c r="J236">
        <v>123</v>
      </c>
      <c r="K236">
        <v>119</v>
      </c>
      <c r="L236">
        <v>1</v>
      </c>
      <c r="M236">
        <v>2017</v>
      </c>
      <c r="N236">
        <v>10</v>
      </c>
      <c r="O236">
        <v>1</v>
      </c>
      <c r="P236">
        <v>4</v>
      </c>
      <c r="Q236" s="2" t="s">
        <v>17</v>
      </c>
    </row>
    <row r="237" spans="1:17" x14ac:dyDescent="0.3">
      <c r="A237" s="1">
        <v>43026</v>
      </c>
      <c r="B237" s="3">
        <v>122</v>
      </c>
      <c r="C237" s="3">
        <v>122</v>
      </c>
      <c r="D237" s="3">
        <v>122</v>
      </c>
      <c r="E237" s="3">
        <v>122</v>
      </c>
      <c r="F237" s="4">
        <v>3666400</v>
      </c>
      <c r="G237" s="3">
        <v>122</v>
      </c>
      <c r="H237">
        <v>0</v>
      </c>
      <c r="I237">
        <v>122</v>
      </c>
      <c r="J237">
        <v>123</v>
      </c>
      <c r="K237">
        <v>119</v>
      </c>
      <c r="L237">
        <v>1</v>
      </c>
      <c r="M237">
        <v>2017</v>
      </c>
      <c r="N237">
        <v>10</v>
      </c>
      <c r="O237">
        <v>2</v>
      </c>
      <c r="P237">
        <v>4</v>
      </c>
      <c r="Q237" s="2" t="s">
        <v>17</v>
      </c>
    </row>
    <row r="238" spans="1:17" x14ac:dyDescent="0.3">
      <c r="A238" s="1">
        <v>43027</v>
      </c>
      <c r="B238" s="3">
        <v>122</v>
      </c>
      <c r="C238" s="3">
        <v>123</v>
      </c>
      <c r="D238" s="3">
        <v>122</v>
      </c>
      <c r="E238" s="3">
        <v>122</v>
      </c>
      <c r="F238" s="4">
        <v>5567300</v>
      </c>
      <c r="G238" s="3">
        <v>122</v>
      </c>
      <c r="H238">
        <v>1</v>
      </c>
      <c r="I238">
        <v>122</v>
      </c>
      <c r="J238">
        <v>123</v>
      </c>
      <c r="K238">
        <v>119</v>
      </c>
      <c r="L238">
        <v>1</v>
      </c>
      <c r="M238">
        <v>2017</v>
      </c>
      <c r="N238">
        <v>10</v>
      </c>
      <c r="O238">
        <v>3</v>
      </c>
      <c r="P238">
        <v>4</v>
      </c>
      <c r="Q238" s="2" t="s">
        <v>17</v>
      </c>
    </row>
    <row r="239" spans="1:17" x14ac:dyDescent="0.3">
      <c r="A239" s="1">
        <v>43028</v>
      </c>
      <c r="B239" s="3">
        <v>122</v>
      </c>
      <c r="C239" s="3">
        <v>122</v>
      </c>
      <c r="D239" s="3">
        <v>121</v>
      </c>
      <c r="E239" s="3">
        <v>122</v>
      </c>
      <c r="F239" s="4">
        <v>8481100</v>
      </c>
      <c r="G239" s="3">
        <v>122</v>
      </c>
      <c r="H239">
        <v>-1</v>
      </c>
      <c r="I239">
        <v>122</v>
      </c>
      <c r="J239">
        <v>123</v>
      </c>
      <c r="K239">
        <v>120</v>
      </c>
      <c r="L239">
        <v>1</v>
      </c>
      <c r="M239">
        <v>2017</v>
      </c>
      <c r="N239">
        <v>10</v>
      </c>
      <c r="O239">
        <v>4</v>
      </c>
      <c r="P239">
        <v>4</v>
      </c>
      <c r="Q239" s="2" t="s">
        <v>17</v>
      </c>
    </row>
    <row r="240" spans="1:17" x14ac:dyDescent="0.3">
      <c r="A240" s="1">
        <v>43031</v>
      </c>
      <c r="B240" s="3">
        <v>122</v>
      </c>
      <c r="C240" s="3">
        <v>122</v>
      </c>
      <c r="D240" s="3">
        <v>121</v>
      </c>
      <c r="E240" s="3">
        <v>121</v>
      </c>
      <c r="F240" s="4">
        <v>5069700</v>
      </c>
      <c r="G240" s="3">
        <v>122</v>
      </c>
      <c r="H240">
        <v>0</v>
      </c>
      <c r="I240">
        <v>122</v>
      </c>
      <c r="J240">
        <v>123</v>
      </c>
      <c r="K240">
        <v>120</v>
      </c>
      <c r="L240">
        <v>1</v>
      </c>
      <c r="M240">
        <v>2017</v>
      </c>
      <c r="N240">
        <v>10</v>
      </c>
      <c r="O240">
        <v>0</v>
      </c>
      <c r="P240">
        <v>4</v>
      </c>
      <c r="Q240" s="2" t="s">
        <v>17</v>
      </c>
    </row>
    <row r="241" spans="1:17" x14ac:dyDescent="0.3">
      <c r="A241" s="1">
        <v>43032</v>
      </c>
      <c r="B241" s="3">
        <v>121</v>
      </c>
      <c r="C241" s="3">
        <v>122</v>
      </c>
      <c r="D241" s="3">
        <v>121</v>
      </c>
      <c r="E241" s="3">
        <v>121</v>
      </c>
      <c r="F241" s="4">
        <v>5114100</v>
      </c>
      <c r="G241" s="3">
        <v>121</v>
      </c>
      <c r="H241">
        <v>0</v>
      </c>
      <c r="I241">
        <v>122</v>
      </c>
      <c r="J241">
        <v>123</v>
      </c>
      <c r="K241">
        <v>120</v>
      </c>
      <c r="L241">
        <v>1</v>
      </c>
      <c r="M241">
        <v>2017</v>
      </c>
      <c r="N241">
        <v>10</v>
      </c>
      <c r="O241">
        <v>1</v>
      </c>
      <c r="P241">
        <v>4</v>
      </c>
      <c r="Q241" s="2" t="s">
        <v>17</v>
      </c>
    </row>
    <row r="242" spans="1:17" x14ac:dyDescent="0.3">
      <c r="A242" s="1">
        <v>43033</v>
      </c>
      <c r="B242" s="3">
        <v>121</v>
      </c>
      <c r="C242" s="3">
        <v>122</v>
      </c>
      <c r="D242" s="3">
        <v>121</v>
      </c>
      <c r="E242" s="3">
        <v>121</v>
      </c>
      <c r="F242" s="4">
        <v>4282400</v>
      </c>
      <c r="G242" s="3">
        <v>121</v>
      </c>
      <c r="H242">
        <v>0</v>
      </c>
      <c r="I242">
        <v>122</v>
      </c>
      <c r="J242">
        <v>123</v>
      </c>
      <c r="K242">
        <v>120</v>
      </c>
      <c r="L242">
        <v>1</v>
      </c>
      <c r="M242">
        <v>2017</v>
      </c>
      <c r="N242">
        <v>10</v>
      </c>
      <c r="O242">
        <v>2</v>
      </c>
      <c r="P242">
        <v>4</v>
      </c>
      <c r="Q242" s="2" t="s">
        <v>17</v>
      </c>
    </row>
    <row r="243" spans="1:17" x14ac:dyDescent="0.3">
      <c r="A243" s="1">
        <v>43034</v>
      </c>
      <c r="B243" s="3">
        <v>120</v>
      </c>
      <c r="C243" s="3">
        <v>121</v>
      </c>
      <c r="D243" s="3">
        <v>120</v>
      </c>
      <c r="E243" s="3">
        <v>121</v>
      </c>
      <c r="F243" s="4">
        <v>6438800</v>
      </c>
      <c r="G243" s="3">
        <v>120</v>
      </c>
      <c r="H243">
        <v>-1</v>
      </c>
      <c r="I243">
        <v>122</v>
      </c>
      <c r="J243">
        <v>123</v>
      </c>
      <c r="K243">
        <v>120</v>
      </c>
      <c r="L243">
        <v>1</v>
      </c>
      <c r="M243">
        <v>2017</v>
      </c>
      <c r="N243">
        <v>10</v>
      </c>
      <c r="O243">
        <v>3</v>
      </c>
      <c r="P243">
        <v>4</v>
      </c>
      <c r="Q243" s="2" t="s">
        <v>17</v>
      </c>
    </row>
    <row r="244" spans="1:17" x14ac:dyDescent="0.3">
      <c r="A244" s="1">
        <v>43035</v>
      </c>
      <c r="B244" s="3">
        <v>121</v>
      </c>
      <c r="C244" s="3">
        <v>121</v>
      </c>
      <c r="D244" s="3">
        <v>120</v>
      </c>
      <c r="E244" s="3">
        <v>120</v>
      </c>
      <c r="F244" s="4">
        <v>6664200</v>
      </c>
      <c r="G244" s="3">
        <v>121</v>
      </c>
      <c r="H244">
        <v>0</v>
      </c>
      <c r="I244">
        <v>122</v>
      </c>
      <c r="J244">
        <v>123</v>
      </c>
      <c r="K244">
        <v>120</v>
      </c>
      <c r="L244">
        <v>1</v>
      </c>
      <c r="M244">
        <v>2017</v>
      </c>
      <c r="N244">
        <v>10</v>
      </c>
      <c r="O244">
        <v>4</v>
      </c>
      <c r="P244">
        <v>4</v>
      </c>
      <c r="Q244" s="2" t="s">
        <v>17</v>
      </c>
    </row>
    <row r="245" spans="1:17" x14ac:dyDescent="0.3">
      <c r="A245" s="1">
        <v>43038</v>
      </c>
      <c r="B245" s="3">
        <v>121</v>
      </c>
      <c r="C245" s="3">
        <v>121</v>
      </c>
      <c r="D245" s="3">
        <v>120</v>
      </c>
      <c r="E245" s="3">
        <v>120</v>
      </c>
      <c r="F245" s="4">
        <v>5119200</v>
      </c>
      <c r="G245" s="3">
        <v>121</v>
      </c>
      <c r="H245">
        <v>0</v>
      </c>
      <c r="I245">
        <v>122</v>
      </c>
      <c r="J245">
        <v>123</v>
      </c>
      <c r="K245">
        <v>120</v>
      </c>
      <c r="L245">
        <v>1</v>
      </c>
      <c r="M245">
        <v>2017</v>
      </c>
      <c r="N245">
        <v>10</v>
      </c>
      <c r="O245">
        <v>0</v>
      </c>
      <c r="P245">
        <v>4</v>
      </c>
      <c r="Q245" s="2" t="s">
        <v>17</v>
      </c>
    </row>
    <row r="246" spans="1:17" x14ac:dyDescent="0.3">
      <c r="A246" s="1">
        <v>43039</v>
      </c>
      <c r="B246" s="3">
        <v>121</v>
      </c>
      <c r="C246" s="3">
        <v>121</v>
      </c>
      <c r="D246" s="3">
        <v>120</v>
      </c>
      <c r="E246" s="3">
        <v>121</v>
      </c>
      <c r="F246" s="4">
        <v>3910500</v>
      </c>
      <c r="G246" s="3">
        <v>121</v>
      </c>
      <c r="H246">
        <v>0</v>
      </c>
      <c r="I246">
        <v>122</v>
      </c>
      <c r="J246">
        <v>123</v>
      </c>
      <c r="K246">
        <v>120</v>
      </c>
      <c r="L246">
        <v>1</v>
      </c>
      <c r="M246">
        <v>2017</v>
      </c>
      <c r="N246">
        <v>10</v>
      </c>
      <c r="O246">
        <v>1</v>
      </c>
      <c r="P246">
        <v>4</v>
      </c>
      <c r="Q246" s="2" t="s">
        <v>17</v>
      </c>
    </row>
    <row r="247" spans="1:17" x14ac:dyDescent="0.3">
      <c r="A247" s="1">
        <v>43040</v>
      </c>
      <c r="B247" s="3">
        <v>121</v>
      </c>
      <c r="C247" s="3">
        <v>122</v>
      </c>
      <c r="D247" s="3">
        <v>121</v>
      </c>
      <c r="E247" s="3">
        <v>121</v>
      </c>
      <c r="F247" s="4">
        <v>4647800</v>
      </c>
      <c r="G247" s="3">
        <v>121</v>
      </c>
      <c r="H247">
        <v>0</v>
      </c>
      <c r="I247">
        <v>122</v>
      </c>
      <c r="J247">
        <v>123</v>
      </c>
      <c r="K247">
        <v>120</v>
      </c>
      <c r="L247">
        <v>1</v>
      </c>
      <c r="M247">
        <v>2017</v>
      </c>
      <c r="N247">
        <v>11</v>
      </c>
      <c r="O247">
        <v>2</v>
      </c>
      <c r="P247">
        <v>4</v>
      </c>
      <c r="Q247" s="2" t="s">
        <v>17</v>
      </c>
    </row>
    <row r="248" spans="1:17" x14ac:dyDescent="0.3">
      <c r="A248" s="1">
        <v>43041</v>
      </c>
      <c r="B248" s="3">
        <v>121</v>
      </c>
      <c r="C248" s="3">
        <v>122</v>
      </c>
      <c r="D248" s="3">
        <v>121</v>
      </c>
      <c r="E248" s="3">
        <v>121</v>
      </c>
      <c r="F248" s="4">
        <v>5369500</v>
      </c>
      <c r="G248" s="3">
        <v>121</v>
      </c>
      <c r="H248">
        <v>0</v>
      </c>
      <c r="I248">
        <v>122</v>
      </c>
      <c r="J248">
        <v>123</v>
      </c>
      <c r="K248">
        <v>120</v>
      </c>
      <c r="L248">
        <v>1</v>
      </c>
      <c r="M248">
        <v>2017</v>
      </c>
      <c r="N248">
        <v>11</v>
      </c>
      <c r="O248">
        <v>3</v>
      </c>
      <c r="P248">
        <v>4</v>
      </c>
      <c r="Q248" s="2" t="s">
        <v>17</v>
      </c>
    </row>
    <row r="249" spans="1:17" x14ac:dyDescent="0.3">
      <c r="A249" s="1">
        <v>43042</v>
      </c>
      <c r="B249" s="3">
        <v>121</v>
      </c>
      <c r="C249" s="3">
        <v>121</v>
      </c>
      <c r="D249" s="3">
        <v>120</v>
      </c>
      <c r="E249" s="3">
        <v>121</v>
      </c>
      <c r="F249" s="4">
        <v>6330600</v>
      </c>
      <c r="G249" s="3">
        <v>121</v>
      </c>
      <c r="H249">
        <v>0</v>
      </c>
      <c r="I249">
        <v>122</v>
      </c>
      <c r="J249">
        <v>123</v>
      </c>
      <c r="K249">
        <v>120</v>
      </c>
      <c r="L249">
        <v>1</v>
      </c>
      <c r="M249">
        <v>2017</v>
      </c>
      <c r="N249">
        <v>11</v>
      </c>
      <c r="O249">
        <v>4</v>
      </c>
      <c r="P249">
        <v>4</v>
      </c>
      <c r="Q249" s="2" t="s">
        <v>17</v>
      </c>
    </row>
    <row r="250" spans="1:17" x14ac:dyDescent="0.3">
      <c r="A250" s="1">
        <v>43045</v>
      </c>
      <c r="B250" s="3">
        <v>122</v>
      </c>
      <c r="C250" s="3">
        <v>122</v>
      </c>
      <c r="D250" s="3">
        <v>121</v>
      </c>
      <c r="E250" s="3">
        <v>121</v>
      </c>
      <c r="F250" s="4">
        <v>6953800</v>
      </c>
      <c r="G250" s="3">
        <v>122</v>
      </c>
      <c r="H250">
        <v>1</v>
      </c>
      <c r="I250">
        <v>122</v>
      </c>
      <c r="J250">
        <v>123</v>
      </c>
      <c r="K250">
        <v>120</v>
      </c>
      <c r="L250">
        <v>1</v>
      </c>
      <c r="M250">
        <v>2017</v>
      </c>
      <c r="N250">
        <v>11</v>
      </c>
      <c r="O250">
        <v>0</v>
      </c>
      <c r="P250">
        <v>4</v>
      </c>
      <c r="Q250" s="2" t="s">
        <v>17</v>
      </c>
    </row>
    <row r="251" spans="1:17" x14ac:dyDescent="0.3">
      <c r="A251" s="1">
        <v>43046</v>
      </c>
      <c r="B251" s="3">
        <v>121</v>
      </c>
      <c r="C251" s="3">
        <v>122</v>
      </c>
      <c r="D251" s="3">
        <v>121</v>
      </c>
      <c r="E251" s="3">
        <v>122</v>
      </c>
      <c r="F251" s="4">
        <v>4165900</v>
      </c>
      <c r="G251" s="3">
        <v>121</v>
      </c>
      <c r="H251">
        <v>0</v>
      </c>
      <c r="I251">
        <v>122</v>
      </c>
      <c r="J251">
        <v>123</v>
      </c>
      <c r="K251">
        <v>120</v>
      </c>
      <c r="L251">
        <v>1</v>
      </c>
      <c r="M251">
        <v>2017</v>
      </c>
      <c r="N251">
        <v>11</v>
      </c>
      <c r="O251">
        <v>1</v>
      </c>
      <c r="P251">
        <v>4</v>
      </c>
      <c r="Q251" s="2" t="s">
        <v>17</v>
      </c>
    </row>
    <row r="252" spans="1:17" x14ac:dyDescent="0.3">
      <c r="A252" s="1">
        <v>43047</v>
      </c>
      <c r="B252" s="3">
        <v>122</v>
      </c>
      <c r="C252" s="3">
        <v>122</v>
      </c>
      <c r="D252" s="3">
        <v>122</v>
      </c>
      <c r="E252" s="3">
        <v>122</v>
      </c>
      <c r="F252" s="4">
        <v>5565200</v>
      </c>
      <c r="G252" s="3">
        <v>122</v>
      </c>
      <c r="H252">
        <v>0</v>
      </c>
      <c r="I252">
        <v>122</v>
      </c>
      <c r="J252">
        <v>123</v>
      </c>
      <c r="K252">
        <v>120</v>
      </c>
      <c r="L252">
        <v>1</v>
      </c>
      <c r="M252">
        <v>2017</v>
      </c>
      <c r="N252">
        <v>11</v>
      </c>
      <c r="O252">
        <v>2</v>
      </c>
      <c r="P252">
        <v>4</v>
      </c>
      <c r="Q252" s="2" t="s">
        <v>17</v>
      </c>
    </row>
    <row r="253" spans="1:17" x14ac:dyDescent="0.3">
      <c r="A253" s="1">
        <v>43048</v>
      </c>
      <c r="B253" s="3">
        <v>122</v>
      </c>
      <c r="C253" s="3">
        <v>122</v>
      </c>
      <c r="D253" s="3">
        <v>122</v>
      </c>
      <c r="E253" s="3">
        <v>122</v>
      </c>
      <c r="F253" s="4">
        <v>6072400</v>
      </c>
      <c r="G253" s="3">
        <v>122</v>
      </c>
      <c r="H253">
        <v>0</v>
      </c>
      <c r="I253">
        <v>122</v>
      </c>
      <c r="J253">
        <v>123</v>
      </c>
      <c r="K253">
        <v>120</v>
      </c>
      <c r="L253">
        <v>1</v>
      </c>
      <c r="M253">
        <v>2017</v>
      </c>
      <c r="N253">
        <v>11</v>
      </c>
      <c r="O253">
        <v>3</v>
      </c>
      <c r="P253">
        <v>4</v>
      </c>
      <c r="Q253" s="2" t="s">
        <v>17</v>
      </c>
    </row>
    <row r="254" spans="1:17" x14ac:dyDescent="0.3">
      <c r="A254" s="1">
        <v>43049</v>
      </c>
      <c r="B254" s="3">
        <v>121</v>
      </c>
      <c r="C254" s="3">
        <v>122</v>
      </c>
      <c r="D254" s="3">
        <v>121</v>
      </c>
      <c r="E254" s="3">
        <v>122</v>
      </c>
      <c r="F254" s="4">
        <v>7116200</v>
      </c>
      <c r="G254" s="3">
        <v>121</v>
      </c>
      <c r="H254">
        <v>-1</v>
      </c>
      <c r="I254">
        <v>121</v>
      </c>
      <c r="J254">
        <v>123</v>
      </c>
      <c r="K254">
        <v>120</v>
      </c>
      <c r="L254">
        <v>1</v>
      </c>
      <c r="M254">
        <v>2017</v>
      </c>
      <c r="N254">
        <v>11</v>
      </c>
      <c r="O254">
        <v>4</v>
      </c>
      <c r="P254">
        <v>4</v>
      </c>
      <c r="Q254" s="2" t="s">
        <v>17</v>
      </c>
    </row>
    <row r="255" spans="1:17" x14ac:dyDescent="0.3">
      <c r="A255" s="1">
        <v>43052</v>
      </c>
      <c r="B255" s="3">
        <v>121</v>
      </c>
      <c r="C255" s="3">
        <v>122</v>
      </c>
      <c r="D255" s="3">
        <v>121</v>
      </c>
      <c r="E255" s="3">
        <v>121</v>
      </c>
      <c r="F255" s="4">
        <v>6249300</v>
      </c>
      <c r="G255" s="3">
        <v>121</v>
      </c>
      <c r="H255">
        <v>0</v>
      </c>
      <c r="I255">
        <v>121</v>
      </c>
      <c r="J255">
        <v>123</v>
      </c>
      <c r="K255">
        <v>120</v>
      </c>
      <c r="L255">
        <v>1</v>
      </c>
      <c r="M255">
        <v>2017</v>
      </c>
      <c r="N255">
        <v>11</v>
      </c>
      <c r="O255">
        <v>0</v>
      </c>
      <c r="P255">
        <v>4</v>
      </c>
      <c r="Q255" s="2" t="s">
        <v>17</v>
      </c>
    </row>
    <row r="256" spans="1:17" x14ac:dyDescent="0.3">
      <c r="A256" s="1">
        <v>43053</v>
      </c>
      <c r="B256" s="3">
        <v>122</v>
      </c>
      <c r="C256" s="3">
        <v>122</v>
      </c>
      <c r="D256" s="3">
        <v>121</v>
      </c>
      <c r="E256" s="3">
        <v>121</v>
      </c>
      <c r="F256" s="4">
        <v>6189000</v>
      </c>
      <c r="G256" s="3">
        <v>122</v>
      </c>
      <c r="H256">
        <v>0</v>
      </c>
      <c r="I256">
        <v>121</v>
      </c>
      <c r="J256">
        <v>123</v>
      </c>
      <c r="K256">
        <v>120</v>
      </c>
      <c r="L256">
        <v>0</v>
      </c>
      <c r="M256">
        <v>2017</v>
      </c>
      <c r="N256">
        <v>11</v>
      </c>
      <c r="O256">
        <v>1</v>
      </c>
      <c r="P256">
        <v>4</v>
      </c>
      <c r="Q256" s="2" t="s">
        <v>17</v>
      </c>
    </row>
    <row r="257" spans="1:17" x14ac:dyDescent="0.3">
      <c r="A257" s="1">
        <v>43054</v>
      </c>
      <c r="B257" s="3">
        <v>121</v>
      </c>
      <c r="C257" s="3">
        <v>122</v>
      </c>
      <c r="D257" s="3">
        <v>121</v>
      </c>
      <c r="E257" s="3">
        <v>122</v>
      </c>
      <c r="F257" s="4">
        <v>4984800</v>
      </c>
      <c r="G257" s="3">
        <v>121</v>
      </c>
      <c r="H257">
        <v>0</v>
      </c>
      <c r="I257">
        <v>121</v>
      </c>
      <c r="J257">
        <v>123</v>
      </c>
      <c r="K257">
        <v>120</v>
      </c>
      <c r="L257">
        <v>0</v>
      </c>
      <c r="M257">
        <v>2017</v>
      </c>
      <c r="N257">
        <v>11</v>
      </c>
      <c r="O257">
        <v>2</v>
      </c>
      <c r="P257">
        <v>4</v>
      </c>
      <c r="Q257" s="2" t="s">
        <v>17</v>
      </c>
    </row>
    <row r="258" spans="1:17" x14ac:dyDescent="0.3">
      <c r="A258" s="1">
        <v>43055</v>
      </c>
      <c r="B258" s="3">
        <v>121</v>
      </c>
      <c r="C258" s="3">
        <v>122</v>
      </c>
      <c r="D258" s="3">
        <v>121</v>
      </c>
      <c r="E258" s="3">
        <v>121</v>
      </c>
      <c r="F258" s="4">
        <v>2796500</v>
      </c>
      <c r="G258" s="3">
        <v>121</v>
      </c>
      <c r="H258">
        <v>0</v>
      </c>
      <c r="I258">
        <v>121</v>
      </c>
      <c r="J258">
        <v>122</v>
      </c>
      <c r="K258">
        <v>120</v>
      </c>
      <c r="L258">
        <v>0</v>
      </c>
      <c r="M258">
        <v>2017</v>
      </c>
      <c r="N258">
        <v>11</v>
      </c>
      <c r="O258">
        <v>3</v>
      </c>
      <c r="P258">
        <v>4</v>
      </c>
      <c r="Q258" s="2" t="s">
        <v>17</v>
      </c>
    </row>
    <row r="259" spans="1:17" x14ac:dyDescent="0.3">
      <c r="A259" s="1">
        <v>43056</v>
      </c>
      <c r="B259" s="3">
        <v>123</v>
      </c>
      <c r="C259" s="3">
        <v>123</v>
      </c>
      <c r="D259" s="3">
        <v>122</v>
      </c>
      <c r="E259" s="3">
        <v>122</v>
      </c>
      <c r="F259" s="4">
        <v>10614000</v>
      </c>
      <c r="G259" s="3">
        <v>123</v>
      </c>
      <c r="H259">
        <v>1</v>
      </c>
      <c r="I259">
        <v>121</v>
      </c>
      <c r="J259">
        <v>122</v>
      </c>
      <c r="K259">
        <v>120</v>
      </c>
      <c r="L259">
        <v>1</v>
      </c>
      <c r="M259">
        <v>2017</v>
      </c>
      <c r="N259">
        <v>11</v>
      </c>
      <c r="O259">
        <v>4</v>
      </c>
      <c r="P259">
        <v>4</v>
      </c>
      <c r="Q259" s="2" t="s">
        <v>17</v>
      </c>
    </row>
    <row r="260" spans="1:17" x14ac:dyDescent="0.3">
      <c r="A260" s="1">
        <v>43059</v>
      </c>
      <c r="B260" s="3">
        <v>121</v>
      </c>
      <c r="C260" s="3">
        <v>122</v>
      </c>
      <c r="D260" s="3">
        <v>121</v>
      </c>
      <c r="E260" s="3">
        <v>122</v>
      </c>
      <c r="F260" s="4">
        <v>8356700</v>
      </c>
      <c r="G260" s="3">
        <v>121</v>
      </c>
      <c r="H260">
        <v>-1</v>
      </c>
      <c r="I260">
        <v>121</v>
      </c>
      <c r="J260">
        <v>122</v>
      </c>
      <c r="K260">
        <v>120</v>
      </c>
      <c r="L260">
        <v>1</v>
      </c>
      <c r="M260">
        <v>2017</v>
      </c>
      <c r="N260">
        <v>11</v>
      </c>
      <c r="O260">
        <v>0</v>
      </c>
      <c r="P260">
        <v>4</v>
      </c>
      <c r="Q260" s="2" t="s">
        <v>17</v>
      </c>
    </row>
    <row r="261" spans="1:17" x14ac:dyDescent="0.3">
      <c r="A261" s="1">
        <v>43060</v>
      </c>
      <c r="B261" s="3">
        <v>122</v>
      </c>
      <c r="C261" s="3">
        <v>122</v>
      </c>
      <c r="D261" s="3">
        <v>122</v>
      </c>
      <c r="E261" s="3">
        <v>122</v>
      </c>
      <c r="F261" s="4">
        <v>4956500</v>
      </c>
      <c r="G261" s="3">
        <v>122</v>
      </c>
      <c r="H261">
        <v>0</v>
      </c>
      <c r="I261">
        <v>121</v>
      </c>
      <c r="J261">
        <v>122</v>
      </c>
      <c r="K261">
        <v>120</v>
      </c>
      <c r="L261">
        <v>1</v>
      </c>
      <c r="M261">
        <v>2017</v>
      </c>
      <c r="N261">
        <v>11</v>
      </c>
      <c r="O261">
        <v>1</v>
      </c>
      <c r="P261">
        <v>4</v>
      </c>
      <c r="Q261" s="2" t="s">
        <v>17</v>
      </c>
    </row>
    <row r="262" spans="1:17" x14ac:dyDescent="0.3">
      <c r="A262" s="1">
        <v>43061</v>
      </c>
      <c r="B262" s="3">
        <v>123</v>
      </c>
      <c r="C262" s="3">
        <v>123</v>
      </c>
      <c r="D262" s="3">
        <v>122</v>
      </c>
      <c r="E262" s="3">
        <v>122</v>
      </c>
      <c r="F262" s="4">
        <v>5211800</v>
      </c>
      <c r="G262" s="3">
        <v>123</v>
      </c>
      <c r="H262">
        <v>1</v>
      </c>
      <c r="I262">
        <v>121</v>
      </c>
      <c r="J262">
        <v>122</v>
      </c>
      <c r="K262">
        <v>120</v>
      </c>
      <c r="L262">
        <v>1</v>
      </c>
      <c r="M262">
        <v>2017</v>
      </c>
      <c r="N262">
        <v>11</v>
      </c>
      <c r="O262">
        <v>2</v>
      </c>
      <c r="P262">
        <v>4</v>
      </c>
      <c r="Q262" s="2" t="s">
        <v>17</v>
      </c>
    </row>
    <row r="263" spans="1:17" x14ac:dyDescent="0.3">
      <c r="A263" s="1">
        <v>43063</v>
      </c>
      <c r="B263" s="3">
        <v>122</v>
      </c>
      <c r="C263" s="3">
        <v>123</v>
      </c>
      <c r="D263" s="3">
        <v>122</v>
      </c>
      <c r="E263" s="3">
        <v>122</v>
      </c>
      <c r="F263" s="4">
        <v>1779700</v>
      </c>
      <c r="G263" s="3">
        <v>122</v>
      </c>
      <c r="H263">
        <v>0</v>
      </c>
      <c r="I263">
        <v>121</v>
      </c>
      <c r="J263">
        <v>122</v>
      </c>
      <c r="K263">
        <v>120</v>
      </c>
      <c r="L263">
        <v>1</v>
      </c>
      <c r="M263">
        <v>2017</v>
      </c>
      <c r="N263">
        <v>11</v>
      </c>
      <c r="O263">
        <v>4</v>
      </c>
      <c r="P263">
        <v>4</v>
      </c>
      <c r="Q263" s="2" t="s">
        <v>17</v>
      </c>
    </row>
    <row r="264" spans="1:17" x14ac:dyDescent="0.3">
      <c r="A264" s="1">
        <v>43066</v>
      </c>
      <c r="B264" s="3">
        <v>123</v>
      </c>
      <c r="C264" s="3">
        <v>123</v>
      </c>
      <c r="D264" s="3">
        <v>123</v>
      </c>
      <c r="E264" s="3">
        <v>123</v>
      </c>
      <c r="F264" s="4">
        <v>4961200</v>
      </c>
      <c r="G264" s="3">
        <v>123</v>
      </c>
      <c r="H264">
        <v>0</v>
      </c>
      <c r="I264">
        <v>122</v>
      </c>
      <c r="J264">
        <v>122</v>
      </c>
      <c r="K264">
        <v>120</v>
      </c>
      <c r="L264">
        <v>1</v>
      </c>
      <c r="M264">
        <v>2017</v>
      </c>
      <c r="N264">
        <v>11</v>
      </c>
      <c r="O264">
        <v>0</v>
      </c>
      <c r="P264">
        <v>4</v>
      </c>
      <c r="Q264" s="2" t="s">
        <v>17</v>
      </c>
    </row>
    <row r="265" spans="1:17" x14ac:dyDescent="0.3">
      <c r="A265" s="1">
        <v>43067</v>
      </c>
      <c r="B265" s="3">
        <v>123</v>
      </c>
      <c r="C265" s="3">
        <v>123</v>
      </c>
      <c r="D265" s="3">
        <v>123</v>
      </c>
      <c r="E265" s="3">
        <v>123</v>
      </c>
      <c r="F265" s="4">
        <v>5603100</v>
      </c>
      <c r="G265" s="3">
        <v>123</v>
      </c>
      <c r="H265">
        <v>0</v>
      </c>
      <c r="I265">
        <v>122</v>
      </c>
      <c r="J265">
        <v>122</v>
      </c>
      <c r="K265">
        <v>120</v>
      </c>
      <c r="L265">
        <v>1</v>
      </c>
      <c r="M265">
        <v>2017</v>
      </c>
      <c r="N265">
        <v>11</v>
      </c>
      <c r="O265">
        <v>1</v>
      </c>
      <c r="P265">
        <v>4</v>
      </c>
      <c r="Q265" s="2" t="s">
        <v>17</v>
      </c>
    </row>
    <row r="266" spans="1:17" x14ac:dyDescent="0.3">
      <c r="A266" s="1">
        <v>43068</v>
      </c>
      <c r="B266" s="3">
        <v>122</v>
      </c>
      <c r="C266" s="3">
        <v>122</v>
      </c>
      <c r="D266" s="3">
        <v>122</v>
      </c>
      <c r="E266" s="3">
        <v>122</v>
      </c>
      <c r="F266" s="4">
        <v>6138900</v>
      </c>
      <c r="G266" s="3">
        <v>122</v>
      </c>
      <c r="H266">
        <v>-1</v>
      </c>
      <c r="I266">
        <v>122</v>
      </c>
      <c r="J266">
        <v>122</v>
      </c>
      <c r="K266">
        <v>120</v>
      </c>
      <c r="L266">
        <v>1</v>
      </c>
      <c r="M266">
        <v>2017</v>
      </c>
      <c r="N266">
        <v>11</v>
      </c>
      <c r="O266">
        <v>2</v>
      </c>
      <c r="P266">
        <v>4</v>
      </c>
      <c r="Q266" s="2" t="s">
        <v>17</v>
      </c>
    </row>
    <row r="267" spans="1:17" x14ac:dyDescent="0.3">
      <c r="A267" s="1">
        <v>43069</v>
      </c>
      <c r="B267" s="3">
        <v>121</v>
      </c>
      <c r="C267" s="3">
        <v>122</v>
      </c>
      <c r="D267" s="3">
        <v>121</v>
      </c>
      <c r="E267" s="3">
        <v>121</v>
      </c>
      <c r="F267" s="4">
        <v>7936300</v>
      </c>
      <c r="G267" s="3">
        <v>121</v>
      </c>
      <c r="H267">
        <v>-1</v>
      </c>
      <c r="I267">
        <v>122</v>
      </c>
      <c r="J267">
        <v>122</v>
      </c>
      <c r="K267">
        <v>120</v>
      </c>
      <c r="L267">
        <v>1</v>
      </c>
      <c r="M267">
        <v>2017</v>
      </c>
      <c r="N267">
        <v>11</v>
      </c>
      <c r="O267">
        <v>3</v>
      </c>
      <c r="P267">
        <v>4</v>
      </c>
      <c r="Q267" s="2" t="s">
        <v>17</v>
      </c>
    </row>
    <row r="268" spans="1:17" x14ac:dyDescent="0.3">
      <c r="A268" s="1">
        <v>43070</v>
      </c>
      <c r="B268" s="3">
        <v>122</v>
      </c>
      <c r="C268" s="3">
        <v>122</v>
      </c>
      <c r="D268" s="3">
        <v>121</v>
      </c>
      <c r="E268" s="3">
        <v>121</v>
      </c>
      <c r="F268" s="4">
        <v>13080100</v>
      </c>
      <c r="G268" s="3">
        <v>122</v>
      </c>
      <c r="H268">
        <v>0</v>
      </c>
      <c r="I268">
        <v>122</v>
      </c>
      <c r="J268">
        <v>122</v>
      </c>
      <c r="K268">
        <v>120</v>
      </c>
      <c r="L268">
        <v>1</v>
      </c>
      <c r="M268">
        <v>2017</v>
      </c>
      <c r="N268">
        <v>12</v>
      </c>
      <c r="O268">
        <v>4</v>
      </c>
      <c r="P268">
        <v>4</v>
      </c>
      <c r="Q268" s="2" t="s">
        <v>17</v>
      </c>
    </row>
    <row r="269" spans="1:17" x14ac:dyDescent="0.3">
      <c r="A269" s="1">
        <v>43073</v>
      </c>
      <c r="B269" s="3">
        <v>121</v>
      </c>
      <c r="C269" s="3">
        <v>121</v>
      </c>
      <c r="D269" s="3">
        <v>121</v>
      </c>
      <c r="E269" s="3">
        <v>121</v>
      </c>
      <c r="F269" s="4">
        <v>6943700</v>
      </c>
      <c r="G269" s="3">
        <v>121</v>
      </c>
      <c r="H269">
        <v>0</v>
      </c>
      <c r="I269">
        <v>122</v>
      </c>
      <c r="J269">
        <v>122</v>
      </c>
      <c r="K269">
        <v>120</v>
      </c>
      <c r="L269">
        <v>1</v>
      </c>
      <c r="M269">
        <v>2017</v>
      </c>
      <c r="N269">
        <v>12</v>
      </c>
      <c r="O269">
        <v>0</v>
      </c>
      <c r="P269">
        <v>4</v>
      </c>
      <c r="Q269" s="2" t="s">
        <v>17</v>
      </c>
    </row>
    <row r="270" spans="1:17" x14ac:dyDescent="0.3">
      <c r="A270" s="1">
        <v>43074</v>
      </c>
      <c r="B270" s="3">
        <v>120</v>
      </c>
      <c r="C270" s="3">
        <v>121</v>
      </c>
      <c r="D270" s="3">
        <v>120</v>
      </c>
      <c r="E270" s="3">
        <v>120</v>
      </c>
      <c r="F270" s="4">
        <v>10041200</v>
      </c>
      <c r="G270" s="3">
        <v>120</v>
      </c>
      <c r="H270">
        <v>-1</v>
      </c>
      <c r="I270">
        <v>122</v>
      </c>
      <c r="J270">
        <v>122</v>
      </c>
      <c r="K270">
        <v>120</v>
      </c>
      <c r="L270">
        <v>1</v>
      </c>
      <c r="M270">
        <v>2017</v>
      </c>
      <c r="N270">
        <v>12</v>
      </c>
      <c r="O270">
        <v>1</v>
      </c>
      <c r="P270">
        <v>4</v>
      </c>
      <c r="Q270" s="2" t="s">
        <v>17</v>
      </c>
    </row>
    <row r="271" spans="1:17" x14ac:dyDescent="0.3">
      <c r="A271" s="1">
        <v>43075</v>
      </c>
      <c r="B271" s="3">
        <v>120</v>
      </c>
      <c r="C271" s="3">
        <v>120</v>
      </c>
      <c r="D271" s="3">
        <v>120</v>
      </c>
      <c r="E271" s="3">
        <v>120</v>
      </c>
      <c r="F271" s="4">
        <v>6643000</v>
      </c>
      <c r="G271" s="3">
        <v>120</v>
      </c>
      <c r="H271">
        <v>0</v>
      </c>
      <c r="I271">
        <v>122</v>
      </c>
      <c r="J271">
        <v>122</v>
      </c>
      <c r="K271">
        <v>120</v>
      </c>
      <c r="L271">
        <v>1</v>
      </c>
      <c r="M271">
        <v>2017</v>
      </c>
      <c r="N271">
        <v>12</v>
      </c>
      <c r="O271">
        <v>2</v>
      </c>
      <c r="P271">
        <v>4</v>
      </c>
      <c r="Q271" s="2" t="s">
        <v>17</v>
      </c>
    </row>
    <row r="272" spans="1:17" x14ac:dyDescent="0.3">
      <c r="A272" s="1">
        <v>43076</v>
      </c>
      <c r="B272" s="3">
        <v>118</v>
      </c>
      <c r="C272" s="3">
        <v>119</v>
      </c>
      <c r="D272" s="3">
        <v>118</v>
      </c>
      <c r="E272" s="3">
        <v>119</v>
      </c>
      <c r="F272" s="4">
        <v>12900200</v>
      </c>
      <c r="G272" s="3">
        <v>118</v>
      </c>
      <c r="H272">
        <v>-1</v>
      </c>
      <c r="I272">
        <v>121</v>
      </c>
      <c r="J272">
        <v>122</v>
      </c>
      <c r="K272">
        <v>120</v>
      </c>
      <c r="L272">
        <v>1</v>
      </c>
      <c r="M272">
        <v>2017</v>
      </c>
      <c r="N272">
        <v>12</v>
      </c>
      <c r="O272">
        <v>3</v>
      </c>
      <c r="P272">
        <v>4</v>
      </c>
      <c r="Q272" s="2" t="s">
        <v>17</v>
      </c>
    </row>
    <row r="273" spans="1:17" x14ac:dyDescent="0.3">
      <c r="A273" s="1">
        <v>43077</v>
      </c>
      <c r="B273" s="3">
        <v>118</v>
      </c>
      <c r="C273" s="3">
        <v>119</v>
      </c>
      <c r="D273" s="3">
        <v>118</v>
      </c>
      <c r="E273" s="3">
        <v>118</v>
      </c>
      <c r="F273" s="4">
        <v>5231300</v>
      </c>
      <c r="G273" s="3">
        <v>118</v>
      </c>
      <c r="H273">
        <v>0</v>
      </c>
      <c r="I273">
        <v>121</v>
      </c>
      <c r="J273">
        <v>121</v>
      </c>
      <c r="K273">
        <v>120</v>
      </c>
      <c r="L273">
        <v>1</v>
      </c>
      <c r="M273">
        <v>2017</v>
      </c>
      <c r="N273">
        <v>12</v>
      </c>
      <c r="O273">
        <v>4</v>
      </c>
      <c r="P273">
        <v>4</v>
      </c>
      <c r="Q273" s="2" t="s">
        <v>17</v>
      </c>
    </row>
    <row r="274" spans="1:17" x14ac:dyDescent="0.3">
      <c r="A274" s="1">
        <v>43080</v>
      </c>
      <c r="B274" s="3">
        <v>118</v>
      </c>
      <c r="C274" s="3">
        <v>119</v>
      </c>
      <c r="D274" s="3">
        <v>118</v>
      </c>
      <c r="E274" s="3">
        <v>118</v>
      </c>
      <c r="F274" s="4">
        <v>4522200</v>
      </c>
      <c r="G274" s="3">
        <v>118</v>
      </c>
      <c r="H274">
        <v>0</v>
      </c>
      <c r="I274">
        <v>121</v>
      </c>
      <c r="J274">
        <v>121</v>
      </c>
      <c r="K274">
        <v>120</v>
      </c>
      <c r="L274">
        <v>1</v>
      </c>
      <c r="M274">
        <v>2017</v>
      </c>
      <c r="N274">
        <v>12</v>
      </c>
      <c r="O274">
        <v>0</v>
      </c>
      <c r="P274">
        <v>4</v>
      </c>
      <c r="Q274" s="2" t="s">
        <v>17</v>
      </c>
    </row>
    <row r="275" spans="1:17" x14ac:dyDescent="0.3">
      <c r="A275" s="1">
        <v>43081</v>
      </c>
      <c r="B275" s="3">
        <v>118</v>
      </c>
      <c r="C275" s="3">
        <v>118</v>
      </c>
      <c r="D275" s="3">
        <v>117</v>
      </c>
      <c r="E275" s="3">
        <v>118</v>
      </c>
      <c r="F275" s="4">
        <v>8020100</v>
      </c>
      <c r="G275" s="3">
        <v>118</v>
      </c>
      <c r="H275">
        <v>0</v>
      </c>
      <c r="I275">
        <v>121</v>
      </c>
      <c r="J275">
        <v>121</v>
      </c>
      <c r="K275">
        <v>120</v>
      </c>
      <c r="L275">
        <v>1</v>
      </c>
      <c r="M275">
        <v>2017</v>
      </c>
      <c r="N275">
        <v>12</v>
      </c>
      <c r="O275">
        <v>1</v>
      </c>
      <c r="P275">
        <v>4</v>
      </c>
      <c r="Q275" s="2" t="s">
        <v>17</v>
      </c>
    </row>
    <row r="276" spans="1:17" x14ac:dyDescent="0.3">
      <c r="A276" s="1">
        <v>43082</v>
      </c>
      <c r="B276" s="3">
        <v>119</v>
      </c>
      <c r="C276" s="3">
        <v>119</v>
      </c>
      <c r="D276" s="3">
        <v>118</v>
      </c>
      <c r="E276" s="3">
        <v>118</v>
      </c>
      <c r="F276" s="4">
        <v>10086700</v>
      </c>
      <c r="G276" s="3">
        <v>119</v>
      </c>
      <c r="H276">
        <v>1</v>
      </c>
      <c r="I276">
        <v>121</v>
      </c>
      <c r="J276">
        <v>121</v>
      </c>
      <c r="K276">
        <v>120</v>
      </c>
      <c r="L276">
        <v>1</v>
      </c>
      <c r="M276">
        <v>2017</v>
      </c>
      <c r="N276">
        <v>12</v>
      </c>
      <c r="O276">
        <v>2</v>
      </c>
      <c r="P276">
        <v>4</v>
      </c>
      <c r="Q276" s="2" t="s">
        <v>17</v>
      </c>
    </row>
    <row r="277" spans="1:17" x14ac:dyDescent="0.3">
      <c r="A277" s="1">
        <v>43083</v>
      </c>
      <c r="B277" s="3">
        <v>119</v>
      </c>
      <c r="C277" s="3">
        <v>119</v>
      </c>
      <c r="D277" s="3">
        <v>119</v>
      </c>
      <c r="E277" s="3">
        <v>119</v>
      </c>
      <c r="F277" s="4">
        <v>6993600</v>
      </c>
      <c r="G277" s="3">
        <v>119</v>
      </c>
      <c r="H277">
        <v>0</v>
      </c>
      <c r="I277">
        <v>121</v>
      </c>
      <c r="J277">
        <v>121</v>
      </c>
      <c r="K277">
        <v>120</v>
      </c>
      <c r="L277">
        <v>1</v>
      </c>
      <c r="M277">
        <v>2017</v>
      </c>
      <c r="N277">
        <v>12</v>
      </c>
      <c r="O277">
        <v>3</v>
      </c>
      <c r="P277">
        <v>4</v>
      </c>
      <c r="Q277" s="2" t="s">
        <v>17</v>
      </c>
    </row>
    <row r="278" spans="1:17" x14ac:dyDescent="0.3">
      <c r="A278" s="1">
        <v>43084</v>
      </c>
      <c r="B278" s="3">
        <v>119</v>
      </c>
      <c r="C278" s="3">
        <v>120</v>
      </c>
      <c r="D278" s="3">
        <v>119</v>
      </c>
      <c r="E278" s="3">
        <v>119</v>
      </c>
      <c r="F278" s="4">
        <v>7532000</v>
      </c>
      <c r="G278" s="3">
        <v>119</v>
      </c>
      <c r="H278">
        <v>0</v>
      </c>
      <c r="I278">
        <v>121</v>
      </c>
      <c r="J278">
        <v>121</v>
      </c>
      <c r="K278">
        <v>120</v>
      </c>
      <c r="L278">
        <v>1</v>
      </c>
      <c r="M278">
        <v>2017</v>
      </c>
      <c r="N278">
        <v>12</v>
      </c>
      <c r="O278">
        <v>4</v>
      </c>
      <c r="P278">
        <v>4</v>
      </c>
      <c r="Q278" s="2" t="s">
        <v>17</v>
      </c>
    </row>
    <row r="279" spans="1:17" x14ac:dyDescent="0.3">
      <c r="A279" s="1">
        <v>43087</v>
      </c>
      <c r="B279" s="3">
        <v>120</v>
      </c>
      <c r="C279" s="3">
        <v>120</v>
      </c>
      <c r="D279" s="3">
        <v>120</v>
      </c>
      <c r="E279" s="3">
        <v>120</v>
      </c>
      <c r="F279" s="4">
        <v>5452200</v>
      </c>
      <c r="G279" s="3">
        <v>120</v>
      </c>
      <c r="H279">
        <v>0</v>
      </c>
      <c r="I279">
        <v>120</v>
      </c>
      <c r="J279">
        <v>121</v>
      </c>
      <c r="K279">
        <v>120</v>
      </c>
      <c r="L279">
        <v>1</v>
      </c>
      <c r="M279">
        <v>2017</v>
      </c>
      <c r="N279">
        <v>12</v>
      </c>
      <c r="O279">
        <v>0</v>
      </c>
      <c r="P279">
        <v>4</v>
      </c>
      <c r="Q279" s="2" t="s">
        <v>17</v>
      </c>
    </row>
    <row r="280" spans="1:17" x14ac:dyDescent="0.3">
      <c r="A280" s="1">
        <v>43088</v>
      </c>
      <c r="B280" s="3">
        <v>120</v>
      </c>
      <c r="C280" s="3">
        <v>120</v>
      </c>
      <c r="D280" s="3">
        <v>120</v>
      </c>
      <c r="E280" s="3">
        <v>120</v>
      </c>
      <c r="F280" s="4">
        <v>4018900</v>
      </c>
      <c r="G280" s="3">
        <v>120</v>
      </c>
      <c r="H280">
        <v>0</v>
      </c>
      <c r="I280">
        <v>120</v>
      </c>
      <c r="J280">
        <v>121</v>
      </c>
      <c r="K280">
        <v>120</v>
      </c>
      <c r="L280">
        <v>1</v>
      </c>
      <c r="M280">
        <v>2017</v>
      </c>
      <c r="N280">
        <v>12</v>
      </c>
      <c r="O280">
        <v>1</v>
      </c>
      <c r="P280">
        <v>4</v>
      </c>
      <c r="Q280" s="2" t="s">
        <v>17</v>
      </c>
    </row>
    <row r="281" spans="1:17" x14ac:dyDescent="0.3">
      <c r="A281" s="1">
        <v>43089</v>
      </c>
      <c r="B281" s="3">
        <v>120</v>
      </c>
      <c r="C281" s="3">
        <v>120</v>
      </c>
      <c r="D281" s="3">
        <v>120</v>
      </c>
      <c r="E281" s="3">
        <v>120</v>
      </c>
      <c r="F281" s="4">
        <v>5734600</v>
      </c>
      <c r="G281" s="3">
        <v>120</v>
      </c>
      <c r="H281">
        <v>0</v>
      </c>
      <c r="I281">
        <v>120</v>
      </c>
      <c r="J281">
        <v>121</v>
      </c>
      <c r="K281">
        <v>121</v>
      </c>
      <c r="L281">
        <v>1</v>
      </c>
      <c r="M281">
        <v>2017</v>
      </c>
      <c r="N281">
        <v>12</v>
      </c>
      <c r="O281">
        <v>2</v>
      </c>
      <c r="P281">
        <v>4</v>
      </c>
      <c r="Q281" s="2" t="s">
        <v>18</v>
      </c>
    </row>
    <row r="282" spans="1:17" x14ac:dyDescent="0.3">
      <c r="A282" s="1">
        <v>43090</v>
      </c>
      <c r="B282" s="3">
        <v>120</v>
      </c>
      <c r="C282" s="3">
        <v>120</v>
      </c>
      <c r="D282" s="3">
        <v>120</v>
      </c>
      <c r="E282" s="3">
        <v>120</v>
      </c>
      <c r="F282" s="4">
        <v>4823700</v>
      </c>
      <c r="G282" s="3">
        <v>120</v>
      </c>
      <c r="H282">
        <v>0</v>
      </c>
      <c r="I282">
        <v>120</v>
      </c>
      <c r="J282">
        <v>121</v>
      </c>
      <c r="K282">
        <v>121</v>
      </c>
      <c r="L282">
        <v>1</v>
      </c>
      <c r="M282">
        <v>2017</v>
      </c>
      <c r="N282">
        <v>12</v>
      </c>
      <c r="O282">
        <v>3</v>
      </c>
      <c r="P282">
        <v>4</v>
      </c>
      <c r="Q282" s="2" t="s">
        <v>17</v>
      </c>
    </row>
    <row r="283" spans="1:17" x14ac:dyDescent="0.3">
      <c r="A283" s="1">
        <v>43091</v>
      </c>
      <c r="B283" s="3">
        <v>121</v>
      </c>
      <c r="C283" s="3">
        <v>121</v>
      </c>
      <c r="D283" s="3">
        <v>121</v>
      </c>
      <c r="E283" s="3">
        <v>121</v>
      </c>
      <c r="F283" s="4">
        <v>5791300</v>
      </c>
      <c r="G283" s="3">
        <v>121</v>
      </c>
      <c r="H283">
        <v>1</v>
      </c>
      <c r="I283">
        <v>120</v>
      </c>
      <c r="J283">
        <v>121</v>
      </c>
      <c r="K283">
        <v>121</v>
      </c>
      <c r="L283">
        <v>1</v>
      </c>
      <c r="M283">
        <v>2017</v>
      </c>
      <c r="N283">
        <v>12</v>
      </c>
      <c r="O283">
        <v>4</v>
      </c>
      <c r="P283">
        <v>4</v>
      </c>
      <c r="Q283" s="2" t="s">
        <v>17</v>
      </c>
    </row>
    <row r="284" spans="1:17" x14ac:dyDescent="0.3">
      <c r="A284" s="1">
        <v>43095</v>
      </c>
      <c r="B284" s="3">
        <v>122</v>
      </c>
      <c r="C284" s="3">
        <v>122</v>
      </c>
      <c r="D284" s="3">
        <v>122</v>
      </c>
      <c r="E284" s="3">
        <v>122</v>
      </c>
      <c r="F284" s="4">
        <v>8224400</v>
      </c>
      <c r="G284" s="3">
        <v>122</v>
      </c>
      <c r="H284">
        <v>1</v>
      </c>
      <c r="I284">
        <v>120</v>
      </c>
      <c r="J284">
        <v>121</v>
      </c>
      <c r="K284">
        <v>121</v>
      </c>
      <c r="L284">
        <v>1</v>
      </c>
      <c r="M284">
        <v>2017</v>
      </c>
      <c r="N284">
        <v>12</v>
      </c>
      <c r="O284">
        <v>1</v>
      </c>
      <c r="P284">
        <v>4</v>
      </c>
      <c r="Q284" s="2" t="s">
        <v>17</v>
      </c>
    </row>
    <row r="285" spans="1:17" x14ac:dyDescent="0.3">
      <c r="A285" s="1">
        <v>43096</v>
      </c>
      <c r="B285" s="3">
        <v>122</v>
      </c>
      <c r="C285" s="3">
        <v>122</v>
      </c>
      <c r="D285" s="3">
        <v>122</v>
      </c>
      <c r="E285" s="3">
        <v>122</v>
      </c>
      <c r="F285" s="4">
        <v>6232700</v>
      </c>
      <c r="G285" s="3">
        <v>122</v>
      </c>
      <c r="H285">
        <v>0</v>
      </c>
      <c r="I285">
        <v>120</v>
      </c>
      <c r="J285">
        <v>121</v>
      </c>
      <c r="K285">
        <v>121</v>
      </c>
      <c r="L285">
        <v>1</v>
      </c>
      <c r="M285">
        <v>2017</v>
      </c>
      <c r="N285">
        <v>12</v>
      </c>
      <c r="O285">
        <v>2</v>
      </c>
      <c r="P285">
        <v>4</v>
      </c>
      <c r="Q285" s="2" t="s">
        <v>17</v>
      </c>
    </row>
    <row r="286" spans="1:17" x14ac:dyDescent="0.3">
      <c r="A286" s="1">
        <v>43097</v>
      </c>
      <c r="B286" s="3">
        <v>123</v>
      </c>
      <c r="C286" s="3">
        <v>123</v>
      </c>
      <c r="D286" s="3">
        <v>123</v>
      </c>
      <c r="E286" s="3">
        <v>123</v>
      </c>
      <c r="F286" s="4">
        <v>5732700</v>
      </c>
      <c r="G286" s="3">
        <v>123</v>
      </c>
      <c r="H286">
        <v>1</v>
      </c>
      <c r="I286">
        <v>120</v>
      </c>
      <c r="J286">
        <v>121</v>
      </c>
      <c r="K286">
        <v>121</v>
      </c>
      <c r="L286">
        <v>1</v>
      </c>
      <c r="M286">
        <v>2017</v>
      </c>
      <c r="N286">
        <v>12</v>
      </c>
      <c r="O286">
        <v>3</v>
      </c>
      <c r="P286">
        <v>4</v>
      </c>
      <c r="Q286" s="2" t="s">
        <v>17</v>
      </c>
    </row>
    <row r="287" spans="1:17" x14ac:dyDescent="0.3">
      <c r="A287" s="1">
        <v>43098</v>
      </c>
      <c r="B287" s="3">
        <v>124</v>
      </c>
      <c r="C287" s="3">
        <v>124</v>
      </c>
      <c r="D287" s="3">
        <v>123</v>
      </c>
      <c r="E287" s="3">
        <v>124</v>
      </c>
      <c r="F287" s="4">
        <v>7852100</v>
      </c>
      <c r="G287" s="3">
        <v>124</v>
      </c>
      <c r="H287">
        <v>1</v>
      </c>
      <c r="I287">
        <v>120</v>
      </c>
      <c r="J287">
        <v>121</v>
      </c>
      <c r="K287">
        <v>121</v>
      </c>
      <c r="L287">
        <v>1</v>
      </c>
      <c r="M287">
        <v>2017</v>
      </c>
      <c r="N287">
        <v>12</v>
      </c>
      <c r="O287">
        <v>4</v>
      </c>
      <c r="P287">
        <v>4</v>
      </c>
      <c r="Q287" s="2" t="s">
        <v>17</v>
      </c>
    </row>
    <row r="288" spans="1:17" x14ac:dyDescent="0.3">
      <c r="A288" s="1">
        <v>43102</v>
      </c>
      <c r="B288" s="3">
        <v>125</v>
      </c>
      <c r="C288" s="3">
        <v>125</v>
      </c>
      <c r="D288" s="3">
        <v>124</v>
      </c>
      <c r="E288" s="3">
        <v>125</v>
      </c>
      <c r="F288" s="4">
        <v>11762500</v>
      </c>
      <c r="G288" s="3">
        <v>125</v>
      </c>
      <c r="H288">
        <v>1</v>
      </c>
      <c r="I288">
        <v>120</v>
      </c>
      <c r="J288">
        <v>121</v>
      </c>
      <c r="K288">
        <v>121</v>
      </c>
      <c r="L288">
        <v>1</v>
      </c>
      <c r="M288">
        <v>2018</v>
      </c>
      <c r="N288">
        <v>1</v>
      </c>
      <c r="O288">
        <v>1</v>
      </c>
      <c r="P288">
        <v>1</v>
      </c>
      <c r="Q288" s="2" t="s">
        <v>17</v>
      </c>
    </row>
    <row r="289" spans="1:17" x14ac:dyDescent="0.3">
      <c r="A289" s="1">
        <v>43103</v>
      </c>
      <c r="B289" s="3">
        <v>125</v>
      </c>
      <c r="C289" s="3">
        <v>125</v>
      </c>
      <c r="D289" s="3">
        <v>124</v>
      </c>
      <c r="E289" s="3">
        <v>125</v>
      </c>
      <c r="F289" s="4">
        <v>7904300</v>
      </c>
      <c r="G289" s="3">
        <v>125</v>
      </c>
      <c r="H289">
        <v>0</v>
      </c>
      <c r="I289">
        <v>121</v>
      </c>
      <c r="J289">
        <v>121</v>
      </c>
      <c r="K289">
        <v>121</v>
      </c>
      <c r="L289">
        <v>1</v>
      </c>
      <c r="M289">
        <v>2018</v>
      </c>
      <c r="N289">
        <v>1</v>
      </c>
      <c r="O289">
        <v>2</v>
      </c>
      <c r="P289">
        <v>1</v>
      </c>
      <c r="Q289" s="2" t="s">
        <v>17</v>
      </c>
    </row>
    <row r="290" spans="1:17" x14ac:dyDescent="0.3">
      <c r="A290" s="1">
        <v>43104</v>
      </c>
      <c r="B290" s="3">
        <v>125</v>
      </c>
      <c r="C290" s="3">
        <v>126</v>
      </c>
      <c r="D290" s="3">
        <v>125</v>
      </c>
      <c r="E290" s="3">
        <v>125</v>
      </c>
      <c r="F290" s="4">
        <v>7329700</v>
      </c>
      <c r="G290" s="3">
        <v>125</v>
      </c>
      <c r="H290">
        <v>1</v>
      </c>
      <c r="I290">
        <v>121</v>
      </c>
      <c r="J290">
        <v>121</v>
      </c>
      <c r="K290">
        <v>121</v>
      </c>
      <c r="L290">
        <v>1</v>
      </c>
      <c r="M290">
        <v>2018</v>
      </c>
      <c r="N290">
        <v>1</v>
      </c>
      <c r="O290">
        <v>3</v>
      </c>
      <c r="P290">
        <v>1</v>
      </c>
      <c r="Q290" s="2" t="s">
        <v>17</v>
      </c>
    </row>
    <row r="291" spans="1:17" x14ac:dyDescent="0.3">
      <c r="A291" s="1">
        <v>43105</v>
      </c>
      <c r="B291" s="3">
        <v>125</v>
      </c>
      <c r="C291" s="3">
        <v>125</v>
      </c>
      <c r="D291" s="3">
        <v>125</v>
      </c>
      <c r="E291" s="3">
        <v>125</v>
      </c>
      <c r="F291" s="4">
        <v>5739900</v>
      </c>
      <c r="G291" s="3">
        <v>125</v>
      </c>
      <c r="H291">
        <v>0</v>
      </c>
      <c r="I291">
        <v>121</v>
      </c>
      <c r="J291">
        <v>121</v>
      </c>
      <c r="K291">
        <v>121</v>
      </c>
      <c r="L291">
        <v>1</v>
      </c>
      <c r="M291">
        <v>2018</v>
      </c>
      <c r="N291">
        <v>1</v>
      </c>
      <c r="O291">
        <v>4</v>
      </c>
      <c r="P291">
        <v>1</v>
      </c>
      <c r="Q291" s="2" t="s">
        <v>17</v>
      </c>
    </row>
    <row r="292" spans="1:17" x14ac:dyDescent="0.3">
      <c r="A292" s="1">
        <v>43108</v>
      </c>
      <c r="B292" s="3">
        <v>125</v>
      </c>
      <c r="C292" s="3">
        <v>125</v>
      </c>
      <c r="D292" s="3">
        <v>125</v>
      </c>
      <c r="E292" s="3">
        <v>125</v>
      </c>
      <c r="F292" s="4">
        <v>3566700</v>
      </c>
      <c r="G292" s="3">
        <v>125</v>
      </c>
      <c r="H292">
        <v>0</v>
      </c>
      <c r="I292">
        <v>121</v>
      </c>
      <c r="J292">
        <v>121</v>
      </c>
      <c r="K292">
        <v>121</v>
      </c>
      <c r="L292">
        <v>0</v>
      </c>
      <c r="M292">
        <v>2018</v>
      </c>
      <c r="N292">
        <v>1</v>
      </c>
      <c r="O292">
        <v>0</v>
      </c>
      <c r="P292">
        <v>1</v>
      </c>
      <c r="Q292" s="2" t="s">
        <v>17</v>
      </c>
    </row>
    <row r="293" spans="1:17" x14ac:dyDescent="0.3">
      <c r="A293" s="1">
        <v>43109</v>
      </c>
      <c r="B293" s="3">
        <v>125</v>
      </c>
      <c r="C293" s="3">
        <v>125</v>
      </c>
      <c r="D293" s="3">
        <v>124</v>
      </c>
      <c r="E293" s="3">
        <v>124</v>
      </c>
      <c r="F293" s="4">
        <v>9153600</v>
      </c>
      <c r="G293" s="3">
        <v>125</v>
      </c>
      <c r="H293">
        <v>0</v>
      </c>
      <c r="I293">
        <v>122</v>
      </c>
      <c r="J293">
        <v>121</v>
      </c>
      <c r="K293">
        <v>121</v>
      </c>
      <c r="L293">
        <v>0</v>
      </c>
      <c r="M293">
        <v>2018</v>
      </c>
      <c r="N293">
        <v>1</v>
      </c>
      <c r="O293">
        <v>1</v>
      </c>
      <c r="P293">
        <v>1</v>
      </c>
      <c r="Q293" s="2" t="s">
        <v>17</v>
      </c>
    </row>
    <row r="294" spans="1:17" x14ac:dyDescent="0.3">
      <c r="A294" s="1">
        <v>43110</v>
      </c>
      <c r="B294" s="3">
        <v>125</v>
      </c>
      <c r="C294" s="3">
        <v>125</v>
      </c>
      <c r="D294" s="3">
        <v>125</v>
      </c>
      <c r="E294" s="3">
        <v>125</v>
      </c>
      <c r="F294" s="4">
        <v>14809300</v>
      </c>
      <c r="G294" s="3">
        <v>125</v>
      </c>
      <c r="H294">
        <v>0</v>
      </c>
      <c r="I294">
        <v>122</v>
      </c>
      <c r="J294">
        <v>122</v>
      </c>
      <c r="K294">
        <v>121</v>
      </c>
      <c r="L294">
        <v>0</v>
      </c>
      <c r="M294">
        <v>2018</v>
      </c>
      <c r="N294">
        <v>1</v>
      </c>
      <c r="O294">
        <v>2</v>
      </c>
      <c r="P294">
        <v>1</v>
      </c>
      <c r="Q294" s="2" t="s">
        <v>19</v>
      </c>
    </row>
    <row r="295" spans="1:17" x14ac:dyDescent="0.3">
      <c r="A295" s="1">
        <v>43111</v>
      </c>
      <c r="B295" s="3">
        <v>125</v>
      </c>
      <c r="C295" s="3">
        <v>126</v>
      </c>
      <c r="D295" s="3">
        <v>125</v>
      </c>
      <c r="E295" s="3">
        <v>125</v>
      </c>
      <c r="F295" s="4">
        <v>5994700</v>
      </c>
      <c r="G295" s="3">
        <v>125</v>
      </c>
      <c r="H295">
        <v>0</v>
      </c>
      <c r="I295">
        <v>122</v>
      </c>
      <c r="J295">
        <v>122</v>
      </c>
      <c r="K295">
        <v>121</v>
      </c>
      <c r="L295">
        <v>0</v>
      </c>
      <c r="M295">
        <v>2018</v>
      </c>
      <c r="N295">
        <v>1</v>
      </c>
      <c r="O295">
        <v>3</v>
      </c>
      <c r="P295">
        <v>1</v>
      </c>
      <c r="Q295" s="2" t="s">
        <v>17</v>
      </c>
    </row>
    <row r="296" spans="1:17" x14ac:dyDescent="0.3">
      <c r="A296" s="1">
        <v>43112</v>
      </c>
      <c r="B296" s="3">
        <v>127</v>
      </c>
      <c r="C296" s="3">
        <v>127</v>
      </c>
      <c r="D296" s="3">
        <v>126</v>
      </c>
      <c r="E296" s="3">
        <v>126</v>
      </c>
      <c r="F296" s="4">
        <v>9258600</v>
      </c>
      <c r="G296" s="3">
        <v>127</v>
      </c>
      <c r="H296">
        <v>1</v>
      </c>
      <c r="I296">
        <v>123</v>
      </c>
      <c r="J296">
        <v>122</v>
      </c>
      <c r="K296">
        <v>121</v>
      </c>
      <c r="L296">
        <v>0</v>
      </c>
      <c r="M296">
        <v>2018</v>
      </c>
      <c r="N296">
        <v>1</v>
      </c>
      <c r="O296">
        <v>4</v>
      </c>
      <c r="P296">
        <v>1</v>
      </c>
      <c r="Q296" s="2" t="s">
        <v>17</v>
      </c>
    </row>
    <row r="297" spans="1:17" x14ac:dyDescent="0.3">
      <c r="A297" s="1">
        <v>43116</v>
      </c>
      <c r="B297" s="3">
        <v>127</v>
      </c>
      <c r="C297" s="3">
        <v>127</v>
      </c>
      <c r="D297" s="3">
        <v>126</v>
      </c>
      <c r="E297" s="3">
        <v>127</v>
      </c>
      <c r="F297" s="4">
        <v>8083900</v>
      </c>
      <c r="G297" s="3">
        <v>127</v>
      </c>
      <c r="H297">
        <v>0</v>
      </c>
      <c r="I297">
        <v>123</v>
      </c>
      <c r="J297">
        <v>122</v>
      </c>
      <c r="K297">
        <v>121</v>
      </c>
      <c r="L297">
        <v>0</v>
      </c>
      <c r="M297">
        <v>2018</v>
      </c>
      <c r="N297">
        <v>1</v>
      </c>
      <c r="O297">
        <v>1</v>
      </c>
      <c r="P297">
        <v>1</v>
      </c>
      <c r="Q297" s="2" t="s">
        <v>17</v>
      </c>
    </row>
    <row r="298" spans="1:17" x14ac:dyDescent="0.3">
      <c r="A298" s="1">
        <v>43117</v>
      </c>
      <c r="B298" s="3">
        <v>126</v>
      </c>
      <c r="C298" s="3">
        <v>127</v>
      </c>
      <c r="D298" s="3">
        <v>126</v>
      </c>
      <c r="E298" s="3">
        <v>127</v>
      </c>
      <c r="F298" s="4">
        <v>10130500</v>
      </c>
      <c r="G298" s="3">
        <v>126</v>
      </c>
      <c r="H298">
        <v>-1</v>
      </c>
      <c r="I298">
        <v>124</v>
      </c>
      <c r="J298">
        <v>122</v>
      </c>
      <c r="K298">
        <v>121</v>
      </c>
      <c r="L298">
        <v>0</v>
      </c>
      <c r="M298">
        <v>2018</v>
      </c>
      <c r="N298">
        <v>1</v>
      </c>
      <c r="O298">
        <v>2</v>
      </c>
      <c r="P298">
        <v>1</v>
      </c>
      <c r="Q298" s="2" t="s">
        <v>17</v>
      </c>
    </row>
    <row r="299" spans="1:17" x14ac:dyDescent="0.3">
      <c r="A299" s="1">
        <v>43118</v>
      </c>
      <c r="B299" s="3">
        <v>126</v>
      </c>
      <c r="C299" s="3">
        <v>127</v>
      </c>
      <c r="D299" s="3">
        <v>126</v>
      </c>
      <c r="E299" s="3">
        <v>126</v>
      </c>
      <c r="F299" s="4">
        <v>6289300</v>
      </c>
      <c r="G299" s="3">
        <v>126</v>
      </c>
      <c r="H299">
        <v>0</v>
      </c>
      <c r="I299">
        <v>124</v>
      </c>
      <c r="J299">
        <v>122</v>
      </c>
      <c r="K299">
        <v>121</v>
      </c>
      <c r="L299">
        <v>1</v>
      </c>
      <c r="M299">
        <v>2018</v>
      </c>
      <c r="N299">
        <v>1</v>
      </c>
      <c r="O299">
        <v>3</v>
      </c>
      <c r="P299">
        <v>1</v>
      </c>
      <c r="Q299" s="2" t="s">
        <v>17</v>
      </c>
    </row>
    <row r="300" spans="1:17" x14ac:dyDescent="0.3">
      <c r="A300" s="1">
        <v>43119</v>
      </c>
      <c r="B300" s="3">
        <v>126</v>
      </c>
      <c r="C300" s="3">
        <v>127</v>
      </c>
      <c r="D300" s="3">
        <v>126</v>
      </c>
      <c r="E300" s="3">
        <v>127</v>
      </c>
      <c r="F300" s="4">
        <v>8773800</v>
      </c>
      <c r="G300" s="3">
        <v>126</v>
      </c>
      <c r="H300">
        <v>0</v>
      </c>
      <c r="I300">
        <v>124</v>
      </c>
      <c r="J300">
        <v>122</v>
      </c>
      <c r="K300">
        <v>121</v>
      </c>
      <c r="L300">
        <v>1</v>
      </c>
      <c r="M300">
        <v>2018</v>
      </c>
      <c r="N300">
        <v>1</v>
      </c>
      <c r="O300">
        <v>4</v>
      </c>
      <c r="P300">
        <v>1</v>
      </c>
      <c r="Q300" s="2" t="s">
        <v>17</v>
      </c>
    </row>
    <row r="301" spans="1:17" x14ac:dyDescent="0.3">
      <c r="A301" s="1">
        <v>43122</v>
      </c>
      <c r="B301" s="3">
        <v>127</v>
      </c>
      <c r="C301" s="3">
        <v>127</v>
      </c>
      <c r="D301" s="3">
        <v>126</v>
      </c>
      <c r="E301" s="3">
        <v>127</v>
      </c>
      <c r="F301" s="4">
        <v>4893500</v>
      </c>
      <c r="G301" s="3">
        <v>127</v>
      </c>
      <c r="H301">
        <v>0</v>
      </c>
      <c r="I301">
        <v>125</v>
      </c>
      <c r="J301">
        <v>122</v>
      </c>
      <c r="K301">
        <v>121</v>
      </c>
      <c r="L301">
        <v>1</v>
      </c>
      <c r="M301">
        <v>2018</v>
      </c>
      <c r="N301">
        <v>1</v>
      </c>
      <c r="O301">
        <v>0</v>
      </c>
      <c r="P301">
        <v>1</v>
      </c>
      <c r="Q301" s="2" t="s">
        <v>17</v>
      </c>
    </row>
    <row r="302" spans="1:17" x14ac:dyDescent="0.3">
      <c r="A302" s="1">
        <v>43123</v>
      </c>
      <c r="B302" s="3">
        <v>127</v>
      </c>
      <c r="C302" s="3">
        <v>127</v>
      </c>
      <c r="D302" s="3">
        <v>126</v>
      </c>
      <c r="E302" s="3">
        <v>127</v>
      </c>
      <c r="F302" s="4">
        <v>6190400</v>
      </c>
      <c r="G302" s="3">
        <v>127</v>
      </c>
      <c r="H302">
        <v>0</v>
      </c>
      <c r="I302">
        <v>125</v>
      </c>
      <c r="J302">
        <v>122</v>
      </c>
      <c r="K302">
        <v>121</v>
      </c>
      <c r="L302">
        <v>1</v>
      </c>
      <c r="M302">
        <v>2018</v>
      </c>
      <c r="N302">
        <v>1</v>
      </c>
      <c r="O302">
        <v>1</v>
      </c>
      <c r="P302">
        <v>1</v>
      </c>
      <c r="Q302" s="2" t="s">
        <v>17</v>
      </c>
    </row>
    <row r="303" spans="1:17" x14ac:dyDescent="0.3">
      <c r="A303" s="1">
        <v>43124</v>
      </c>
      <c r="B303" s="3">
        <v>129</v>
      </c>
      <c r="C303" s="3">
        <v>129</v>
      </c>
      <c r="D303" s="3">
        <v>128</v>
      </c>
      <c r="E303" s="3">
        <v>128</v>
      </c>
      <c r="F303" s="4">
        <v>11827600</v>
      </c>
      <c r="G303" s="3">
        <v>129</v>
      </c>
      <c r="H303">
        <v>1</v>
      </c>
      <c r="I303">
        <v>125</v>
      </c>
      <c r="J303">
        <v>123</v>
      </c>
      <c r="K303">
        <v>121</v>
      </c>
      <c r="L303">
        <v>1</v>
      </c>
      <c r="M303">
        <v>2018</v>
      </c>
      <c r="N303">
        <v>1</v>
      </c>
      <c r="O303">
        <v>2</v>
      </c>
      <c r="P303">
        <v>1</v>
      </c>
      <c r="Q303" s="2" t="s">
        <v>17</v>
      </c>
    </row>
    <row r="304" spans="1:17" x14ac:dyDescent="0.3">
      <c r="A304" s="1">
        <v>43125</v>
      </c>
      <c r="B304" s="3">
        <v>128</v>
      </c>
      <c r="C304" s="3">
        <v>130</v>
      </c>
      <c r="D304" s="3">
        <v>127</v>
      </c>
      <c r="E304" s="3">
        <v>129</v>
      </c>
      <c r="F304" s="4">
        <v>15219700</v>
      </c>
      <c r="G304" s="3">
        <v>128</v>
      </c>
      <c r="H304">
        <v>-1</v>
      </c>
      <c r="I304">
        <v>126</v>
      </c>
      <c r="J304">
        <v>123</v>
      </c>
      <c r="K304">
        <v>121</v>
      </c>
      <c r="L304">
        <v>1</v>
      </c>
      <c r="M304">
        <v>2018</v>
      </c>
      <c r="N304">
        <v>1</v>
      </c>
      <c r="O304">
        <v>3</v>
      </c>
      <c r="P304">
        <v>1</v>
      </c>
      <c r="Q304" s="2" t="s">
        <v>17</v>
      </c>
    </row>
    <row r="305" spans="1:17" x14ac:dyDescent="0.3">
      <c r="A305" s="1">
        <v>43126</v>
      </c>
      <c r="B305" s="3">
        <v>128</v>
      </c>
      <c r="C305" s="3">
        <v>129</v>
      </c>
      <c r="D305" s="3">
        <v>128</v>
      </c>
      <c r="E305" s="3">
        <v>128</v>
      </c>
      <c r="F305" s="4">
        <v>7828700</v>
      </c>
      <c r="G305" s="3">
        <v>128</v>
      </c>
      <c r="H305">
        <v>0</v>
      </c>
      <c r="I305">
        <v>126</v>
      </c>
      <c r="J305">
        <v>123</v>
      </c>
      <c r="K305">
        <v>121</v>
      </c>
      <c r="L305">
        <v>1</v>
      </c>
      <c r="M305">
        <v>2018</v>
      </c>
      <c r="N305">
        <v>1</v>
      </c>
      <c r="O305">
        <v>4</v>
      </c>
      <c r="P305">
        <v>1</v>
      </c>
      <c r="Q305" s="2" t="s">
        <v>17</v>
      </c>
    </row>
    <row r="306" spans="1:17" x14ac:dyDescent="0.3">
      <c r="A306" s="1">
        <v>43129</v>
      </c>
      <c r="B306" s="3">
        <v>127</v>
      </c>
      <c r="C306" s="3">
        <v>128</v>
      </c>
      <c r="D306" s="3">
        <v>127</v>
      </c>
      <c r="E306" s="3">
        <v>128</v>
      </c>
      <c r="F306" s="4">
        <v>6956400</v>
      </c>
      <c r="G306" s="3">
        <v>127</v>
      </c>
      <c r="H306">
        <v>-1</v>
      </c>
      <c r="I306">
        <v>126</v>
      </c>
      <c r="J306">
        <v>123</v>
      </c>
      <c r="K306">
        <v>121</v>
      </c>
      <c r="L306">
        <v>1</v>
      </c>
      <c r="M306">
        <v>2018</v>
      </c>
      <c r="N306">
        <v>1</v>
      </c>
      <c r="O306">
        <v>0</v>
      </c>
      <c r="P306">
        <v>1</v>
      </c>
      <c r="Q306" s="2" t="s">
        <v>17</v>
      </c>
    </row>
    <row r="307" spans="1:17" x14ac:dyDescent="0.3">
      <c r="A307" s="1">
        <v>43130</v>
      </c>
      <c r="B307" s="3">
        <v>127</v>
      </c>
      <c r="C307" s="3">
        <v>128</v>
      </c>
      <c r="D307" s="3">
        <v>127</v>
      </c>
      <c r="E307" s="3">
        <v>128</v>
      </c>
      <c r="F307" s="4">
        <v>9736100</v>
      </c>
      <c r="G307" s="3">
        <v>127</v>
      </c>
      <c r="H307">
        <v>0</v>
      </c>
      <c r="I307">
        <v>126</v>
      </c>
      <c r="J307">
        <v>123</v>
      </c>
      <c r="K307">
        <v>121</v>
      </c>
      <c r="L307">
        <v>1</v>
      </c>
      <c r="M307">
        <v>2018</v>
      </c>
      <c r="N307">
        <v>1</v>
      </c>
      <c r="O307">
        <v>1</v>
      </c>
      <c r="P307">
        <v>1</v>
      </c>
      <c r="Q307" s="2" t="s">
        <v>17</v>
      </c>
    </row>
    <row r="308" spans="1:17" x14ac:dyDescent="0.3">
      <c r="A308" s="1">
        <v>43131</v>
      </c>
      <c r="B308" s="3">
        <v>128</v>
      </c>
      <c r="C308" s="3">
        <v>128</v>
      </c>
      <c r="D308" s="3">
        <v>126</v>
      </c>
      <c r="E308" s="3">
        <v>127</v>
      </c>
      <c r="F308" s="4">
        <v>13418900</v>
      </c>
      <c r="G308" s="3">
        <v>128</v>
      </c>
      <c r="H308">
        <v>1</v>
      </c>
      <c r="I308">
        <v>126</v>
      </c>
      <c r="J308">
        <v>123</v>
      </c>
      <c r="K308">
        <v>121</v>
      </c>
      <c r="L308">
        <v>1</v>
      </c>
      <c r="M308">
        <v>2018</v>
      </c>
      <c r="N308">
        <v>1</v>
      </c>
      <c r="O308">
        <v>2</v>
      </c>
      <c r="P308">
        <v>1</v>
      </c>
      <c r="Q308" s="2" t="s">
        <v>17</v>
      </c>
    </row>
    <row r="309" spans="1:17" x14ac:dyDescent="0.3">
      <c r="A309" s="1">
        <v>43132</v>
      </c>
      <c r="B309" s="3">
        <v>128</v>
      </c>
      <c r="C309" s="3">
        <v>128</v>
      </c>
      <c r="D309" s="3">
        <v>127</v>
      </c>
      <c r="E309" s="3">
        <v>127</v>
      </c>
      <c r="F309" s="4">
        <v>10854600</v>
      </c>
      <c r="G309" s="3">
        <v>128</v>
      </c>
      <c r="H309">
        <v>0</v>
      </c>
      <c r="I309">
        <v>127</v>
      </c>
      <c r="J309">
        <v>123</v>
      </c>
      <c r="K309">
        <v>121</v>
      </c>
      <c r="L309">
        <v>1</v>
      </c>
      <c r="M309">
        <v>2018</v>
      </c>
      <c r="N309">
        <v>2</v>
      </c>
      <c r="O309">
        <v>3</v>
      </c>
      <c r="P309">
        <v>1</v>
      </c>
      <c r="Q309" s="2" t="s">
        <v>17</v>
      </c>
    </row>
    <row r="310" spans="1:17" x14ac:dyDescent="0.3">
      <c r="A310" s="1">
        <v>43133</v>
      </c>
      <c r="B310" s="3">
        <v>126</v>
      </c>
      <c r="C310" s="3">
        <v>127</v>
      </c>
      <c r="D310" s="3">
        <v>126</v>
      </c>
      <c r="E310" s="3">
        <v>127</v>
      </c>
      <c r="F310" s="4">
        <v>16789200</v>
      </c>
      <c r="G310" s="3">
        <v>126</v>
      </c>
      <c r="H310">
        <v>-1</v>
      </c>
      <c r="I310">
        <v>127</v>
      </c>
      <c r="J310">
        <v>123</v>
      </c>
      <c r="K310">
        <v>121</v>
      </c>
      <c r="L310">
        <v>1</v>
      </c>
      <c r="M310">
        <v>2018</v>
      </c>
      <c r="N310">
        <v>2</v>
      </c>
      <c r="O310">
        <v>4</v>
      </c>
      <c r="P310">
        <v>1</v>
      </c>
      <c r="Q310" s="2" t="s">
        <v>17</v>
      </c>
    </row>
    <row r="311" spans="1:17" x14ac:dyDescent="0.3">
      <c r="A311" s="1">
        <v>43136</v>
      </c>
      <c r="B311" s="3">
        <v>127</v>
      </c>
      <c r="C311" s="3">
        <v>127</v>
      </c>
      <c r="D311" s="3">
        <v>126</v>
      </c>
      <c r="E311" s="3">
        <v>127</v>
      </c>
      <c r="F311" s="4">
        <v>13596300</v>
      </c>
      <c r="G311" s="3">
        <v>127</v>
      </c>
      <c r="H311">
        <v>0</v>
      </c>
      <c r="I311">
        <v>127</v>
      </c>
      <c r="J311">
        <v>123</v>
      </c>
      <c r="K311">
        <v>122</v>
      </c>
      <c r="L311">
        <v>1</v>
      </c>
      <c r="M311">
        <v>2018</v>
      </c>
      <c r="N311">
        <v>2</v>
      </c>
      <c r="O311">
        <v>0</v>
      </c>
      <c r="P311">
        <v>1</v>
      </c>
      <c r="Q311" s="2" t="s">
        <v>17</v>
      </c>
    </row>
    <row r="312" spans="1:17" x14ac:dyDescent="0.3">
      <c r="A312" s="1">
        <v>43137</v>
      </c>
      <c r="B312" s="3">
        <v>125</v>
      </c>
      <c r="C312" s="3">
        <v>127</v>
      </c>
      <c r="D312" s="3">
        <v>125</v>
      </c>
      <c r="E312" s="3">
        <v>127</v>
      </c>
      <c r="F312" s="4">
        <v>17672500</v>
      </c>
      <c r="G312" s="3">
        <v>125</v>
      </c>
      <c r="H312">
        <v>-1</v>
      </c>
      <c r="I312">
        <v>127</v>
      </c>
      <c r="J312">
        <v>124</v>
      </c>
      <c r="K312">
        <v>122</v>
      </c>
      <c r="L312">
        <v>1</v>
      </c>
      <c r="M312">
        <v>2018</v>
      </c>
      <c r="N312">
        <v>2</v>
      </c>
      <c r="O312">
        <v>1</v>
      </c>
      <c r="P312">
        <v>1</v>
      </c>
      <c r="Q312" s="2" t="s">
        <v>17</v>
      </c>
    </row>
    <row r="313" spans="1:17" x14ac:dyDescent="0.3">
      <c r="A313" s="1">
        <v>43138</v>
      </c>
      <c r="B313" s="3">
        <v>125</v>
      </c>
      <c r="C313" s="3">
        <v>126</v>
      </c>
      <c r="D313" s="3">
        <v>124</v>
      </c>
      <c r="E313" s="3">
        <v>125</v>
      </c>
      <c r="F313" s="4">
        <v>8558500</v>
      </c>
      <c r="G313" s="3">
        <v>125</v>
      </c>
      <c r="H313">
        <v>0</v>
      </c>
      <c r="I313">
        <v>127</v>
      </c>
      <c r="J313">
        <v>124</v>
      </c>
      <c r="K313">
        <v>122</v>
      </c>
      <c r="L313">
        <v>1</v>
      </c>
      <c r="M313">
        <v>2018</v>
      </c>
      <c r="N313">
        <v>2</v>
      </c>
      <c r="O313">
        <v>2</v>
      </c>
      <c r="P313">
        <v>1</v>
      </c>
      <c r="Q313" s="2" t="s">
        <v>17</v>
      </c>
    </row>
    <row r="314" spans="1:17" x14ac:dyDescent="0.3">
      <c r="A314" s="1">
        <v>43139</v>
      </c>
      <c r="B314" s="3">
        <v>125</v>
      </c>
      <c r="C314" s="3">
        <v>125</v>
      </c>
      <c r="D314" s="3">
        <v>125</v>
      </c>
      <c r="E314" s="3">
        <v>125</v>
      </c>
      <c r="F314" s="4">
        <v>7343600</v>
      </c>
      <c r="G314" s="3">
        <v>125</v>
      </c>
      <c r="H314">
        <v>0</v>
      </c>
      <c r="I314">
        <v>127</v>
      </c>
      <c r="J314">
        <v>124</v>
      </c>
      <c r="K314">
        <v>122</v>
      </c>
      <c r="L314">
        <v>1</v>
      </c>
      <c r="M314">
        <v>2018</v>
      </c>
      <c r="N314">
        <v>2</v>
      </c>
      <c r="O314">
        <v>3</v>
      </c>
      <c r="P314">
        <v>1</v>
      </c>
      <c r="Q314" s="2" t="s">
        <v>17</v>
      </c>
    </row>
    <row r="315" spans="1:17" x14ac:dyDescent="0.3">
      <c r="A315" s="1">
        <v>43140</v>
      </c>
      <c r="B315" s="3">
        <v>125</v>
      </c>
      <c r="C315" s="3">
        <v>125</v>
      </c>
      <c r="D315" s="3">
        <v>124</v>
      </c>
      <c r="E315" s="3">
        <v>125</v>
      </c>
      <c r="F315" s="4">
        <v>14140700</v>
      </c>
      <c r="G315" s="3">
        <v>125</v>
      </c>
      <c r="H315">
        <v>0</v>
      </c>
      <c r="I315">
        <v>127</v>
      </c>
      <c r="J315">
        <v>124</v>
      </c>
      <c r="K315">
        <v>122</v>
      </c>
      <c r="L315">
        <v>1</v>
      </c>
      <c r="M315">
        <v>2018</v>
      </c>
      <c r="N315">
        <v>2</v>
      </c>
      <c r="O315">
        <v>4</v>
      </c>
      <c r="P315">
        <v>1</v>
      </c>
      <c r="Q315" s="2" t="s">
        <v>17</v>
      </c>
    </row>
    <row r="316" spans="1:17" x14ac:dyDescent="0.3">
      <c r="A316" s="1">
        <v>43143</v>
      </c>
      <c r="B316" s="3">
        <v>125</v>
      </c>
      <c r="C316" s="3">
        <v>126</v>
      </c>
      <c r="D316" s="3">
        <v>125</v>
      </c>
      <c r="E316" s="3">
        <v>125</v>
      </c>
      <c r="F316" s="4">
        <v>6984900</v>
      </c>
      <c r="G316" s="3">
        <v>125</v>
      </c>
      <c r="H316">
        <v>0</v>
      </c>
      <c r="I316">
        <v>127</v>
      </c>
      <c r="J316">
        <v>124</v>
      </c>
      <c r="K316">
        <v>122</v>
      </c>
      <c r="L316">
        <v>1</v>
      </c>
      <c r="M316">
        <v>2018</v>
      </c>
      <c r="N316">
        <v>2</v>
      </c>
      <c r="O316">
        <v>0</v>
      </c>
      <c r="P316">
        <v>1</v>
      </c>
      <c r="Q316" s="2" t="s">
        <v>17</v>
      </c>
    </row>
    <row r="317" spans="1:17" x14ac:dyDescent="0.3">
      <c r="A317" s="1">
        <v>43144</v>
      </c>
      <c r="B317" s="3">
        <v>126</v>
      </c>
      <c r="C317" s="3">
        <v>126</v>
      </c>
      <c r="D317" s="3">
        <v>126</v>
      </c>
      <c r="E317" s="3">
        <v>126</v>
      </c>
      <c r="F317" s="4">
        <v>5321300</v>
      </c>
      <c r="G317" s="3">
        <v>126</v>
      </c>
      <c r="H317">
        <v>1</v>
      </c>
      <c r="I317">
        <v>127</v>
      </c>
      <c r="J317">
        <v>124</v>
      </c>
      <c r="K317">
        <v>122</v>
      </c>
      <c r="L317">
        <v>1</v>
      </c>
      <c r="M317">
        <v>2018</v>
      </c>
      <c r="N317">
        <v>2</v>
      </c>
      <c r="O317">
        <v>1</v>
      </c>
      <c r="P317">
        <v>1</v>
      </c>
      <c r="Q317" s="2" t="s">
        <v>17</v>
      </c>
    </row>
    <row r="318" spans="1:17" x14ac:dyDescent="0.3">
      <c r="A318" s="1">
        <v>43145</v>
      </c>
      <c r="B318" s="3">
        <v>128</v>
      </c>
      <c r="C318" s="3">
        <v>129</v>
      </c>
      <c r="D318" s="3">
        <v>126</v>
      </c>
      <c r="E318" s="3">
        <v>126</v>
      </c>
      <c r="F318" s="4">
        <v>16416400</v>
      </c>
      <c r="G318" s="3">
        <v>128</v>
      </c>
      <c r="H318">
        <v>2</v>
      </c>
      <c r="I318">
        <v>127</v>
      </c>
      <c r="J318">
        <v>124</v>
      </c>
      <c r="K318">
        <v>122</v>
      </c>
      <c r="L318">
        <v>1</v>
      </c>
      <c r="M318">
        <v>2018</v>
      </c>
      <c r="N318">
        <v>2</v>
      </c>
      <c r="O318">
        <v>2</v>
      </c>
      <c r="P318">
        <v>1</v>
      </c>
      <c r="Q318" s="2" t="s">
        <v>17</v>
      </c>
    </row>
    <row r="319" spans="1:17" x14ac:dyDescent="0.3">
      <c r="A319" s="1">
        <v>43146</v>
      </c>
      <c r="B319" s="3">
        <v>128</v>
      </c>
      <c r="C319" s="3">
        <v>129</v>
      </c>
      <c r="D319" s="3">
        <v>128</v>
      </c>
      <c r="E319" s="3">
        <v>128</v>
      </c>
      <c r="F319" s="4">
        <v>7276500</v>
      </c>
      <c r="G319" s="3">
        <v>128</v>
      </c>
      <c r="H319">
        <v>0</v>
      </c>
      <c r="I319">
        <v>127</v>
      </c>
      <c r="J319">
        <v>124</v>
      </c>
      <c r="K319">
        <v>122</v>
      </c>
      <c r="L319">
        <v>1</v>
      </c>
      <c r="M319">
        <v>2018</v>
      </c>
      <c r="N319">
        <v>2</v>
      </c>
      <c r="O319">
        <v>3</v>
      </c>
      <c r="P319">
        <v>1</v>
      </c>
      <c r="Q319" s="2" t="s">
        <v>17</v>
      </c>
    </row>
    <row r="320" spans="1:17" x14ac:dyDescent="0.3">
      <c r="A320" s="1">
        <v>43147</v>
      </c>
      <c r="B320" s="3">
        <v>128</v>
      </c>
      <c r="C320" s="3">
        <v>129</v>
      </c>
      <c r="D320" s="3">
        <v>128</v>
      </c>
      <c r="E320" s="3">
        <v>128</v>
      </c>
      <c r="F320" s="4">
        <v>7956900</v>
      </c>
      <c r="G320" s="3">
        <v>128</v>
      </c>
      <c r="H320">
        <v>0</v>
      </c>
      <c r="I320">
        <v>127</v>
      </c>
      <c r="J320">
        <v>124</v>
      </c>
      <c r="K320">
        <v>122</v>
      </c>
      <c r="L320">
        <v>1</v>
      </c>
      <c r="M320">
        <v>2018</v>
      </c>
      <c r="N320">
        <v>2</v>
      </c>
      <c r="O320">
        <v>4</v>
      </c>
      <c r="P320">
        <v>1</v>
      </c>
      <c r="Q320" s="2" t="s">
        <v>17</v>
      </c>
    </row>
    <row r="321" spans="1:17" x14ac:dyDescent="0.3">
      <c r="A321" s="1">
        <v>43151</v>
      </c>
      <c r="B321" s="3">
        <v>126</v>
      </c>
      <c r="C321" s="3">
        <v>127</v>
      </c>
      <c r="D321" s="3">
        <v>126</v>
      </c>
      <c r="E321" s="3">
        <v>127</v>
      </c>
      <c r="F321" s="4">
        <v>11148700</v>
      </c>
      <c r="G321" s="3">
        <v>126</v>
      </c>
      <c r="H321">
        <v>-1</v>
      </c>
      <c r="I321">
        <v>127</v>
      </c>
      <c r="J321">
        <v>124</v>
      </c>
      <c r="K321">
        <v>122</v>
      </c>
      <c r="L321">
        <v>1</v>
      </c>
      <c r="M321">
        <v>2018</v>
      </c>
      <c r="N321">
        <v>2</v>
      </c>
      <c r="O321">
        <v>1</v>
      </c>
      <c r="P321">
        <v>1</v>
      </c>
      <c r="Q321" s="2" t="s">
        <v>17</v>
      </c>
    </row>
    <row r="322" spans="1:17" x14ac:dyDescent="0.3">
      <c r="A322" s="1">
        <v>43152</v>
      </c>
      <c r="B322" s="3">
        <v>126</v>
      </c>
      <c r="C322" s="3">
        <v>127</v>
      </c>
      <c r="D322" s="3">
        <v>125</v>
      </c>
      <c r="E322" s="3">
        <v>126</v>
      </c>
      <c r="F322" s="4">
        <v>7908800</v>
      </c>
      <c r="G322" s="3">
        <v>126</v>
      </c>
      <c r="H322">
        <v>0</v>
      </c>
      <c r="I322">
        <v>127</v>
      </c>
      <c r="J322">
        <v>125</v>
      </c>
      <c r="K322">
        <v>122</v>
      </c>
      <c r="L322">
        <v>1</v>
      </c>
      <c r="M322">
        <v>2018</v>
      </c>
      <c r="N322">
        <v>2</v>
      </c>
      <c r="O322">
        <v>2</v>
      </c>
      <c r="P322">
        <v>1</v>
      </c>
      <c r="Q322" s="2" t="s">
        <v>17</v>
      </c>
    </row>
    <row r="323" spans="1:17" x14ac:dyDescent="0.3">
      <c r="A323" s="1">
        <v>43153</v>
      </c>
      <c r="B323" s="3">
        <v>126</v>
      </c>
      <c r="C323" s="3">
        <v>126</v>
      </c>
      <c r="D323" s="3">
        <v>126</v>
      </c>
      <c r="E323" s="3">
        <v>126</v>
      </c>
      <c r="F323" s="4">
        <v>5346300</v>
      </c>
      <c r="G323" s="3">
        <v>126</v>
      </c>
      <c r="H323">
        <v>1</v>
      </c>
      <c r="I323">
        <v>127</v>
      </c>
      <c r="J323">
        <v>125</v>
      </c>
      <c r="K323">
        <v>122</v>
      </c>
      <c r="L323">
        <v>1</v>
      </c>
      <c r="M323">
        <v>2018</v>
      </c>
      <c r="N323">
        <v>2</v>
      </c>
      <c r="O323">
        <v>3</v>
      </c>
      <c r="P323">
        <v>1</v>
      </c>
      <c r="Q323" s="2" t="s">
        <v>17</v>
      </c>
    </row>
    <row r="324" spans="1:17" x14ac:dyDescent="0.3">
      <c r="A324" s="1">
        <v>43154</v>
      </c>
      <c r="B324" s="3">
        <v>126</v>
      </c>
      <c r="C324" s="3">
        <v>126</v>
      </c>
      <c r="D324" s="3">
        <v>126</v>
      </c>
      <c r="E324" s="3">
        <v>126</v>
      </c>
      <c r="F324" s="4">
        <v>4239700</v>
      </c>
      <c r="G324" s="3">
        <v>126</v>
      </c>
      <c r="H324">
        <v>0</v>
      </c>
      <c r="I324">
        <v>127</v>
      </c>
      <c r="J324">
        <v>125</v>
      </c>
      <c r="K324">
        <v>122</v>
      </c>
      <c r="L324">
        <v>1</v>
      </c>
      <c r="M324">
        <v>2018</v>
      </c>
      <c r="N324">
        <v>2</v>
      </c>
      <c r="O324">
        <v>4</v>
      </c>
      <c r="P324">
        <v>1</v>
      </c>
      <c r="Q324" s="2" t="s">
        <v>17</v>
      </c>
    </row>
    <row r="325" spans="1:17" x14ac:dyDescent="0.3">
      <c r="A325" s="1">
        <v>43157</v>
      </c>
      <c r="B325" s="3">
        <v>126</v>
      </c>
      <c r="C325" s="3">
        <v>127</v>
      </c>
      <c r="D325" s="3">
        <v>126</v>
      </c>
      <c r="E325" s="3">
        <v>126</v>
      </c>
      <c r="F325" s="4">
        <v>3194300</v>
      </c>
      <c r="G325" s="3">
        <v>126</v>
      </c>
      <c r="H325">
        <v>0</v>
      </c>
      <c r="I325">
        <v>126</v>
      </c>
      <c r="J325">
        <v>125</v>
      </c>
      <c r="K325">
        <v>122</v>
      </c>
      <c r="L325">
        <v>1</v>
      </c>
      <c r="M325">
        <v>2018</v>
      </c>
      <c r="N325">
        <v>2</v>
      </c>
      <c r="O325">
        <v>0</v>
      </c>
      <c r="P325">
        <v>1</v>
      </c>
      <c r="Q325" s="2" t="s">
        <v>17</v>
      </c>
    </row>
    <row r="326" spans="1:17" x14ac:dyDescent="0.3">
      <c r="A326" s="1">
        <v>43158</v>
      </c>
      <c r="B326" s="3">
        <v>125</v>
      </c>
      <c r="C326" s="3">
        <v>126</v>
      </c>
      <c r="D326" s="3">
        <v>125</v>
      </c>
      <c r="E326" s="3">
        <v>126</v>
      </c>
      <c r="F326" s="4">
        <v>7082300</v>
      </c>
      <c r="G326" s="3">
        <v>125</v>
      </c>
      <c r="H326">
        <v>-1</v>
      </c>
      <c r="I326">
        <v>126</v>
      </c>
      <c r="J326">
        <v>125</v>
      </c>
      <c r="K326">
        <v>122</v>
      </c>
      <c r="L326">
        <v>1</v>
      </c>
      <c r="M326">
        <v>2018</v>
      </c>
      <c r="N326">
        <v>2</v>
      </c>
      <c r="O326">
        <v>1</v>
      </c>
      <c r="P326">
        <v>1</v>
      </c>
      <c r="Q326" s="2" t="s">
        <v>17</v>
      </c>
    </row>
    <row r="327" spans="1:17" x14ac:dyDescent="0.3">
      <c r="A327" s="1">
        <v>43159</v>
      </c>
      <c r="B327" s="3">
        <v>125</v>
      </c>
      <c r="C327" s="3">
        <v>125</v>
      </c>
      <c r="D327" s="3">
        <v>125</v>
      </c>
      <c r="E327" s="3">
        <v>125</v>
      </c>
      <c r="F327" s="4">
        <v>4534900</v>
      </c>
      <c r="G327" s="3">
        <v>125</v>
      </c>
      <c r="H327">
        <v>0</v>
      </c>
      <c r="I327">
        <v>126</v>
      </c>
      <c r="J327">
        <v>125</v>
      </c>
      <c r="K327">
        <v>122</v>
      </c>
      <c r="L327">
        <v>1</v>
      </c>
      <c r="M327">
        <v>2018</v>
      </c>
      <c r="N327">
        <v>2</v>
      </c>
      <c r="O327">
        <v>2</v>
      </c>
      <c r="P327">
        <v>1</v>
      </c>
      <c r="Q327" s="2" t="s">
        <v>17</v>
      </c>
    </row>
    <row r="328" spans="1:17" x14ac:dyDescent="0.3">
      <c r="A328" s="1">
        <v>43160</v>
      </c>
      <c r="B328" s="3">
        <v>125</v>
      </c>
      <c r="C328" s="3">
        <v>125</v>
      </c>
      <c r="D328" s="3">
        <v>124</v>
      </c>
      <c r="E328" s="3">
        <v>124</v>
      </c>
      <c r="F328" s="4">
        <v>12910100</v>
      </c>
      <c r="G328" s="3">
        <v>125</v>
      </c>
      <c r="H328">
        <v>0</v>
      </c>
      <c r="I328">
        <v>126</v>
      </c>
      <c r="J328">
        <v>125</v>
      </c>
      <c r="K328">
        <v>122</v>
      </c>
      <c r="L328">
        <v>1</v>
      </c>
      <c r="M328">
        <v>2018</v>
      </c>
      <c r="N328">
        <v>3</v>
      </c>
      <c r="O328">
        <v>3</v>
      </c>
      <c r="P328">
        <v>1</v>
      </c>
      <c r="Q328" s="2" t="s">
        <v>17</v>
      </c>
    </row>
    <row r="329" spans="1:17" x14ac:dyDescent="0.3">
      <c r="A329" s="1">
        <v>43161</v>
      </c>
      <c r="B329" s="3">
        <v>125</v>
      </c>
      <c r="C329" s="3">
        <v>126</v>
      </c>
      <c r="D329" s="3">
        <v>125</v>
      </c>
      <c r="E329" s="3">
        <v>126</v>
      </c>
      <c r="F329" s="4">
        <v>9994300</v>
      </c>
      <c r="G329" s="3">
        <v>125</v>
      </c>
      <c r="H329">
        <v>1</v>
      </c>
      <c r="I329">
        <v>126</v>
      </c>
      <c r="J329">
        <v>125</v>
      </c>
      <c r="K329">
        <v>122</v>
      </c>
      <c r="L329">
        <v>1</v>
      </c>
      <c r="M329">
        <v>2018</v>
      </c>
      <c r="N329">
        <v>3</v>
      </c>
      <c r="O329">
        <v>4</v>
      </c>
      <c r="P329">
        <v>1</v>
      </c>
      <c r="Q329" s="2" t="s">
        <v>17</v>
      </c>
    </row>
    <row r="330" spans="1:17" x14ac:dyDescent="0.3">
      <c r="A330" s="1">
        <v>43164</v>
      </c>
      <c r="B330" s="3">
        <v>125</v>
      </c>
      <c r="C330" s="3">
        <v>125</v>
      </c>
      <c r="D330" s="3">
        <v>125</v>
      </c>
      <c r="E330" s="3">
        <v>125</v>
      </c>
      <c r="F330" s="4">
        <v>5778300</v>
      </c>
      <c r="G330" s="3">
        <v>125</v>
      </c>
      <c r="H330">
        <v>0</v>
      </c>
      <c r="I330">
        <v>126</v>
      </c>
      <c r="J330">
        <v>126</v>
      </c>
      <c r="K330">
        <v>122</v>
      </c>
      <c r="L330">
        <v>1</v>
      </c>
      <c r="M330">
        <v>2018</v>
      </c>
      <c r="N330">
        <v>3</v>
      </c>
      <c r="O330">
        <v>0</v>
      </c>
      <c r="P330">
        <v>1</v>
      </c>
      <c r="Q330" s="2" t="s">
        <v>17</v>
      </c>
    </row>
    <row r="331" spans="1:17" x14ac:dyDescent="0.3">
      <c r="A331" s="1">
        <v>43165</v>
      </c>
      <c r="B331" s="3">
        <v>127</v>
      </c>
      <c r="C331" s="3">
        <v>127</v>
      </c>
      <c r="D331" s="3">
        <v>126</v>
      </c>
      <c r="E331" s="3">
        <v>126</v>
      </c>
      <c r="F331" s="4">
        <v>8676800</v>
      </c>
      <c r="G331" s="3">
        <v>127</v>
      </c>
      <c r="H331">
        <v>1</v>
      </c>
      <c r="I331">
        <v>126</v>
      </c>
      <c r="J331">
        <v>126</v>
      </c>
      <c r="K331">
        <v>122</v>
      </c>
      <c r="L331">
        <v>1</v>
      </c>
      <c r="M331">
        <v>2018</v>
      </c>
      <c r="N331">
        <v>3</v>
      </c>
      <c r="O331">
        <v>1</v>
      </c>
      <c r="P331">
        <v>1</v>
      </c>
      <c r="Q331" s="2" t="s">
        <v>17</v>
      </c>
    </row>
    <row r="332" spans="1:17" x14ac:dyDescent="0.3">
      <c r="A332" s="1">
        <v>43166</v>
      </c>
      <c r="B332" s="3">
        <v>126</v>
      </c>
      <c r="C332" s="3">
        <v>126</v>
      </c>
      <c r="D332" s="3">
        <v>125</v>
      </c>
      <c r="E332" s="3">
        <v>126</v>
      </c>
      <c r="F332" s="4">
        <v>5158700</v>
      </c>
      <c r="G332" s="3">
        <v>126</v>
      </c>
      <c r="H332">
        <v>-1</v>
      </c>
      <c r="I332">
        <v>126</v>
      </c>
      <c r="J332">
        <v>126</v>
      </c>
      <c r="K332">
        <v>122</v>
      </c>
      <c r="L332">
        <v>1</v>
      </c>
      <c r="M332">
        <v>2018</v>
      </c>
      <c r="N332">
        <v>3</v>
      </c>
      <c r="O332">
        <v>2</v>
      </c>
      <c r="P332">
        <v>1</v>
      </c>
      <c r="Q332" s="2" t="s">
        <v>17</v>
      </c>
    </row>
    <row r="333" spans="1:17" x14ac:dyDescent="0.3">
      <c r="A333" s="1">
        <v>43167</v>
      </c>
      <c r="B333" s="3">
        <v>125</v>
      </c>
      <c r="C333" s="3">
        <v>126</v>
      </c>
      <c r="D333" s="3">
        <v>125</v>
      </c>
      <c r="E333" s="3">
        <v>126</v>
      </c>
      <c r="F333" s="4">
        <v>3474900</v>
      </c>
      <c r="G333" s="3">
        <v>125</v>
      </c>
      <c r="H333">
        <v>0</v>
      </c>
      <c r="I333">
        <v>126</v>
      </c>
      <c r="J333">
        <v>126</v>
      </c>
      <c r="K333">
        <v>122</v>
      </c>
      <c r="L333">
        <v>1</v>
      </c>
      <c r="M333">
        <v>2018</v>
      </c>
      <c r="N333">
        <v>3</v>
      </c>
      <c r="O333">
        <v>3</v>
      </c>
      <c r="P333">
        <v>1</v>
      </c>
      <c r="Q333" s="2" t="s">
        <v>17</v>
      </c>
    </row>
    <row r="334" spans="1:17" x14ac:dyDescent="0.3">
      <c r="A334" s="1">
        <v>43168</v>
      </c>
      <c r="B334" s="3">
        <v>126</v>
      </c>
      <c r="C334" s="3">
        <v>126</v>
      </c>
      <c r="D334" s="3">
        <v>125</v>
      </c>
      <c r="E334" s="3">
        <v>125</v>
      </c>
      <c r="F334" s="4">
        <v>5066800</v>
      </c>
      <c r="G334" s="3">
        <v>126</v>
      </c>
      <c r="H334">
        <v>0</v>
      </c>
      <c r="I334">
        <v>126</v>
      </c>
      <c r="J334">
        <v>126</v>
      </c>
      <c r="K334">
        <v>122</v>
      </c>
      <c r="L334">
        <v>1</v>
      </c>
      <c r="M334">
        <v>2018</v>
      </c>
      <c r="N334">
        <v>3</v>
      </c>
      <c r="O334">
        <v>4</v>
      </c>
      <c r="P334">
        <v>1</v>
      </c>
      <c r="Q334" s="2" t="s">
        <v>17</v>
      </c>
    </row>
    <row r="335" spans="1:17" x14ac:dyDescent="0.3">
      <c r="A335" s="1">
        <v>43171</v>
      </c>
      <c r="B335" s="3">
        <v>126</v>
      </c>
      <c r="C335" s="3">
        <v>126</v>
      </c>
      <c r="D335" s="3">
        <v>125</v>
      </c>
      <c r="E335" s="3">
        <v>125</v>
      </c>
      <c r="F335" s="4">
        <v>2884300</v>
      </c>
      <c r="G335" s="3">
        <v>126</v>
      </c>
      <c r="H335">
        <v>0</v>
      </c>
      <c r="I335">
        <v>126</v>
      </c>
      <c r="J335">
        <v>126</v>
      </c>
      <c r="K335">
        <v>122</v>
      </c>
      <c r="L335">
        <v>1</v>
      </c>
      <c r="M335">
        <v>2018</v>
      </c>
      <c r="N335">
        <v>3</v>
      </c>
      <c r="O335">
        <v>0</v>
      </c>
      <c r="P335">
        <v>1</v>
      </c>
      <c r="Q335" s="2" t="s">
        <v>17</v>
      </c>
    </row>
    <row r="336" spans="1:17" x14ac:dyDescent="0.3">
      <c r="A336" s="1">
        <v>43172</v>
      </c>
      <c r="B336" s="3">
        <v>126</v>
      </c>
      <c r="C336" s="3">
        <v>126</v>
      </c>
      <c r="D336" s="3">
        <v>125</v>
      </c>
      <c r="E336" s="3">
        <v>126</v>
      </c>
      <c r="F336" s="4">
        <v>4798300</v>
      </c>
      <c r="G336" s="3">
        <v>126</v>
      </c>
      <c r="H336">
        <v>0</v>
      </c>
      <c r="I336">
        <v>126</v>
      </c>
      <c r="J336">
        <v>126</v>
      </c>
      <c r="K336">
        <v>122</v>
      </c>
      <c r="L336">
        <v>1</v>
      </c>
      <c r="M336">
        <v>2018</v>
      </c>
      <c r="N336">
        <v>3</v>
      </c>
      <c r="O336">
        <v>1</v>
      </c>
      <c r="P336">
        <v>1</v>
      </c>
      <c r="Q336" s="2" t="s">
        <v>17</v>
      </c>
    </row>
    <row r="337" spans="1:17" x14ac:dyDescent="0.3">
      <c r="A337" s="1">
        <v>43173</v>
      </c>
      <c r="B337" s="3">
        <v>126</v>
      </c>
      <c r="C337" s="3">
        <v>126</v>
      </c>
      <c r="D337" s="3">
        <v>125</v>
      </c>
      <c r="E337" s="3">
        <v>125</v>
      </c>
      <c r="F337" s="4">
        <v>3777000</v>
      </c>
      <c r="G337" s="3">
        <v>126</v>
      </c>
      <c r="H337">
        <v>0</v>
      </c>
      <c r="I337">
        <v>126</v>
      </c>
      <c r="J337">
        <v>126</v>
      </c>
      <c r="K337">
        <v>122</v>
      </c>
      <c r="L337">
        <v>1</v>
      </c>
      <c r="M337">
        <v>2018</v>
      </c>
      <c r="N337">
        <v>3</v>
      </c>
      <c r="O337">
        <v>2</v>
      </c>
      <c r="P337">
        <v>1</v>
      </c>
      <c r="Q337" s="2" t="s">
        <v>17</v>
      </c>
    </row>
    <row r="338" spans="1:17" x14ac:dyDescent="0.3">
      <c r="A338" s="1">
        <v>43174</v>
      </c>
      <c r="B338" s="3">
        <v>125</v>
      </c>
      <c r="C338" s="3">
        <v>125</v>
      </c>
      <c r="D338" s="3">
        <v>125</v>
      </c>
      <c r="E338" s="3">
        <v>125</v>
      </c>
      <c r="F338" s="4">
        <v>6130100</v>
      </c>
      <c r="G338" s="3">
        <v>125</v>
      </c>
      <c r="H338">
        <v>-1</v>
      </c>
      <c r="I338">
        <v>126</v>
      </c>
      <c r="J338">
        <v>126</v>
      </c>
      <c r="K338">
        <v>122</v>
      </c>
      <c r="L338">
        <v>1</v>
      </c>
      <c r="M338">
        <v>2018</v>
      </c>
      <c r="N338">
        <v>3</v>
      </c>
      <c r="O338">
        <v>3</v>
      </c>
      <c r="P338">
        <v>1</v>
      </c>
      <c r="Q338" s="2" t="s">
        <v>17</v>
      </c>
    </row>
    <row r="339" spans="1:17" x14ac:dyDescent="0.3">
      <c r="A339" s="1">
        <v>43175</v>
      </c>
      <c r="B339" s="3">
        <v>125</v>
      </c>
      <c r="C339" s="3">
        <v>125</v>
      </c>
      <c r="D339" s="3">
        <v>124</v>
      </c>
      <c r="E339" s="3">
        <v>125</v>
      </c>
      <c r="F339" s="4">
        <v>7402200</v>
      </c>
      <c r="G339" s="3">
        <v>125</v>
      </c>
      <c r="H339">
        <v>0</v>
      </c>
      <c r="I339">
        <v>126</v>
      </c>
      <c r="J339">
        <v>126</v>
      </c>
      <c r="K339">
        <v>122</v>
      </c>
      <c r="L339">
        <v>1</v>
      </c>
      <c r="M339">
        <v>2018</v>
      </c>
      <c r="N339">
        <v>3</v>
      </c>
      <c r="O339">
        <v>4</v>
      </c>
      <c r="P339">
        <v>1</v>
      </c>
      <c r="Q339" s="2" t="s">
        <v>17</v>
      </c>
    </row>
    <row r="340" spans="1:17" x14ac:dyDescent="0.3">
      <c r="A340" s="1">
        <v>43178</v>
      </c>
      <c r="B340" s="3">
        <v>125</v>
      </c>
      <c r="C340" s="3">
        <v>125</v>
      </c>
      <c r="D340" s="3">
        <v>124</v>
      </c>
      <c r="E340" s="3">
        <v>125</v>
      </c>
      <c r="F340" s="4">
        <v>4335400</v>
      </c>
      <c r="G340" s="3">
        <v>125</v>
      </c>
      <c r="H340">
        <v>0</v>
      </c>
      <c r="I340">
        <v>126</v>
      </c>
      <c r="J340">
        <v>126</v>
      </c>
      <c r="K340">
        <v>122</v>
      </c>
      <c r="L340">
        <v>1</v>
      </c>
      <c r="M340">
        <v>2018</v>
      </c>
      <c r="N340">
        <v>3</v>
      </c>
      <c r="O340">
        <v>0</v>
      </c>
      <c r="P340">
        <v>1</v>
      </c>
      <c r="Q340" s="2" t="s">
        <v>17</v>
      </c>
    </row>
    <row r="341" spans="1:17" x14ac:dyDescent="0.3">
      <c r="A341" s="1">
        <v>43179</v>
      </c>
      <c r="B341" s="3">
        <v>124</v>
      </c>
      <c r="C341" s="3">
        <v>125</v>
      </c>
      <c r="D341" s="3">
        <v>124</v>
      </c>
      <c r="E341" s="3">
        <v>124</v>
      </c>
      <c r="F341" s="4">
        <v>3399400</v>
      </c>
      <c r="G341" s="3">
        <v>124</v>
      </c>
      <c r="H341">
        <v>0</v>
      </c>
      <c r="I341">
        <v>125</v>
      </c>
      <c r="J341">
        <v>126</v>
      </c>
      <c r="K341">
        <v>123</v>
      </c>
      <c r="L341">
        <v>0</v>
      </c>
      <c r="M341">
        <v>2018</v>
      </c>
      <c r="N341">
        <v>3</v>
      </c>
      <c r="O341">
        <v>1</v>
      </c>
      <c r="P341">
        <v>1</v>
      </c>
      <c r="Q341" s="2" t="s">
        <v>17</v>
      </c>
    </row>
    <row r="342" spans="1:17" x14ac:dyDescent="0.3">
      <c r="A342" s="1">
        <v>43180</v>
      </c>
      <c r="B342" s="3">
        <v>126</v>
      </c>
      <c r="C342" s="3">
        <v>127</v>
      </c>
      <c r="D342" s="3">
        <v>125</v>
      </c>
      <c r="E342" s="3">
        <v>125</v>
      </c>
      <c r="F342" s="4">
        <v>12532000</v>
      </c>
      <c r="G342" s="3">
        <v>126</v>
      </c>
      <c r="H342">
        <v>2</v>
      </c>
      <c r="I342">
        <v>125</v>
      </c>
      <c r="J342">
        <v>126</v>
      </c>
      <c r="K342">
        <v>123</v>
      </c>
      <c r="L342">
        <v>1</v>
      </c>
      <c r="M342">
        <v>2018</v>
      </c>
      <c r="N342">
        <v>3</v>
      </c>
      <c r="O342">
        <v>2</v>
      </c>
      <c r="P342">
        <v>1</v>
      </c>
      <c r="Q342" s="2" t="s">
        <v>17</v>
      </c>
    </row>
    <row r="343" spans="1:17" x14ac:dyDescent="0.3">
      <c r="A343" s="1">
        <v>43181</v>
      </c>
      <c r="B343" s="3">
        <v>126</v>
      </c>
      <c r="C343" s="3">
        <v>126</v>
      </c>
      <c r="D343" s="3">
        <v>126</v>
      </c>
      <c r="E343" s="3">
        <v>126</v>
      </c>
      <c r="F343" s="4">
        <v>5298700</v>
      </c>
      <c r="G343" s="3">
        <v>126</v>
      </c>
      <c r="H343">
        <v>0</v>
      </c>
      <c r="I343">
        <v>125</v>
      </c>
      <c r="J343">
        <v>126</v>
      </c>
      <c r="K343">
        <v>123</v>
      </c>
      <c r="L343">
        <v>1</v>
      </c>
      <c r="M343">
        <v>2018</v>
      </c>
      <c r="N343">
        <v>3</v>
      </c>
      <c r="O343">
        <v>3</v>
      </c>
      <c r="P343">
        <v>1</v>
      </c>
      <c r="Q343" s="2" t="s">
        <v>17</v>
      </c>
    </row>
    <row r="344" spans="1:17" x14ac:dyDescent="0.3">
      <c r="A344" s="1">
        <v>43182</v>
      </c>
      <c r="B344" s="3">
        <v>128</v>
      </c>
      <c r="C344" s="3">
        <v>128</v>
      </c>
      <c r="D344" s="3">
        <v>128</v>
      </c>
      <c r="E344" s="3">
        <v>128</v>
      </c>
      <c r="F344" s="4">
        <v>12025900</v>
      </c>
      <c r="G344" s="3">
        <v>128</v>
      </c>
      <c r="H344">
        <v>1</v>
      </c>
      <c r="I344">
        <v>126</v>
      </c>
      <c r="J344">
        <v>126</v>
      </c>
      <c r="K344">
        <v>123</v>
      </c>
      <c r="L344">
        <v>1</v>
      </c>
      <c r="M344">
        <v>2018</v>
      </c>
      <c r="N344">
        <v>3</v>
      </c>
      <c r="O344">
        <v>4</v>
      </c>
      <c r="P344">
        <v>1</v>
      </c>
      <c r="Q344" s="2" t="s">
        <v>17</v>
      </c>
    </row>
    <row r="345" spans="1:17" x14ac:dyDescent="0.3">
      <c r="A345" s="1">
        <v>43185</v>
      </c>
      <c r="B345" s="3">
        <v>128</v>
      </c>
      <c r="C345" s="3">
        <v>129</v>
      </c>
      <c r="D345" s="3">
        <v>128</v>
      </c>
      <c r="E345" s="3">
        <v>128</v>
      </c>
      <c r="F345" s="4">
        <v>6169800</v>
      </c>
      <c r="G345" s="3">
        <v>128</v>
      </c>
      <c r="H345">
        <v>1</v>
      </c>
      <c r="I345">
        <v>126</v>
      </c>
      <c r="J345">
        <v>126</v>
      </c>
      <c r="K345">
        <v>123</v>
      </c>
      <c r="L345">
        <v>1</v>
      </c>
      <c r="M345">
        <v>2018</v>
      </c>
      <c r="N345">
        <v>3</v>
      </c>
      <c r="O345">
        <v>0</v>
      </c>
      <c r="P345">
        <v>1</v>
      </c>
      <c r="Q345" s="2" t="s">
        <v>17</v>
      </c>
    </row>
    <row r="346" spans="1:17" x14ac:dyDescent="0.3">
      <c r="A346" s="1">
        <v>43186</v>
      </c>
      <c r="B346" s="3">
        <v>127</v>
      </c>
      <c r="C346" s="3">
        <v>128</v>
      </c>
      <c r="D346" s="3">
        <v>127</v>
      </c>
      <c r="E346" s="3">
        <v>127</v>
      </c>
      <c r="F346" s="4">
        <v>6180700</v>
      </c>
      <c r="G346" s="3">
        <v>127</v>
      </c>
      <c r="H346">
        <v>-1</v>
      </c>
      <c r="I346">
        <v>126</v>
      </c>
      <c r="J346">
        <v>126</v>
      </c>
      <c r="K346">
        <v>123</v>
      </c>
      <c r="L346">
        <v>1</v>
      </c>
      <c r="M346">
        <v>2018</v>
      </c>
      <c r="N346">
        <v>3</v>
      </c>
      <c r="O346">
        <v>1</v>
      </c>
      <c r="P346">
        <v>1</v>
      </c>
      <c r="Q346" s="2" t="s">
        <v>17</v>
      </c>
    </row>
    <row r="347" spans="1:17" x14ac:dyDescent="0.3">
      <c r="A347" s="1">
        <v>43187</v>
      </c>
      <c r="B347" s="3">
        <v>126</v>
      </c>
      <c r="C347" s="3">
        <v>127</v>
      </c>
      <c r="D347" s="3">
        <v>126</v>
      </c>
      <c r="E347" s="3">
        <v>126</v>
      </c>
      <c r="F347" s="4">
        <v>10254900</v>
      </c>
      <c r="G347" s="3">
        <v>126</v>
      </c>
      <c r="H347">
        <v>-1</v>
      </c>
      <c r="I347">
        <v>126</v>
      </c>
      <c r="J347">
        <v>126</v>
      </c>
      <c r="K347">
        <v>123</v>
      </c>
      <c r="L347">
        <v>1</v>
      </c>
      <c r="M347">
        <v>2018</v>
      </c>
      <c r="N347">
        <v>3</v>
      </c>
      <c r="O347">
        <v>2</v>
      </c>
      <c r="P347">
        <v>1</v>
      </c>
      <c r="Q347" s="2" t="s">
        <v>17</v>
      </c>
    </row>
    <row r="348" spans="1:17" x14ac:dyDescent="0.3">
      <c r="A348" s="1">
        <v>43188</v>
      </c>
      <c r="B348" s="3">
        <v>126</v>
      </c>
      <c r="C348" s="3">
        <v>126</v>
      </c>
      <c r="D348" s="3">
        <v>125</v>
      </c>
      <c r="E348" s="3">
        <v>125</v>
      </c>
      <c r="F348" s="4">
        <v>7102000</v>
      </c>
      <c r="G348" s="3">
        <v>126</v>
      </c>
      <c r="H348">
        <v>0</v>
      </c>
      <c r="I348">
        <v>126</v>
      </c>
      <c r="J348">
        <v>126</v>
      </c>
      <c r="K348">
        <v>123</v>
      </c>
      <c r="L348">
        <v>1</v>
      </c>
      <c r="M348">
        <v>2018</v>
      </c>
      <c r="N348">
        <v>3</v>
      </c>
      <c r="O348">
        <v>3</v>
      </c>
      <c r="P348">
        <v>1</v>
      </c>
      <c r="Q348" s="2" t="s">
        <v>17</v>
      </c>
    </row>
    <row r="349" spans="1:17" x14ac:dyDescent="0.3">
      <c r="A349" s="1">
        <v>43192</v>
      </c>
      <c r="B349" s="3">
        <v>127</v>
      </c>
      <c r="C349" s="3">
        <v>128</v>
      </c>
      <c r="D349" s="3">
        <v>126</v>
      </c>
      <c r="E349" s="3">
        <v>127</v>
      </c>
      <c r="F349" s="4">
        <v>11421100</v>
      </c>
      <c r="G349" s="3">
        <v>127</v>
      </c>
      <c r="H349">
        <v>1</v>
      </c>
      <c r="I349">
        <v>126</v>
      </c>
      <c r="J349">
        <v>126</v>
      </c>
      <c r="K349">
        <v>123</v>
      </c>
      <c r="L349">
        <v>1</v>
      </c>
      <c r="M349">
        <v>2018</v>
      </c>
      <c r="N349">
        <v>4</v>
      </c>
      <c r="O349">
        <v>0</v>
      </c>
      <c r="P349">
        <v>2</v>
      </c>
      <c r="Q349" s="2" t="s">
        <v>17</v>
      </c>
    </row>
    <row r="350" spans="1:17" x14ac:dyDescent="0.3">
      <c r="A350" s="1">
        <v>43193</v>
      </c>
      <c r="B350" s="3">
        <v>126</v>
      </c>
      <c r="C350" s="3">
        <v>127</v>
      </c>
      <c r="D350" s="3">
        <v>126</v>
      </c>
      <c r="E350" s="3">
        <v>127</v>
      </c>
      <c r="F350" s="4">
        <v>6083700</v>
      </c>
      <c r="G350" s="3">
        <v>126</v>
      </c>
      <c r="H350">
        <v>-1</v>
      </c>
      <c r="I350">
        <v>126</v>
      </c>
      <c r="J350">
        <v>126</v>
      </c>
      <c r="K350">
        <v>123</v>
      </c>
      <c r="L350">
        <v>1</v>
      </c>
      <c r="M350">
        <v>2018</v>
      </c>
      <c r="N350">
        <v>4</v>
      </c>
      <c r="O350">
        <v>1</v>
      </c>
      <c r="P350">
        <v>2</v>
      </c>
      <c r="Q350" s="2" t="s">
        <v>17</v>
      </c>
    </row>
    <row r="351" spans="1:17" x14ac:dyDescent="0.3">
      <c r="A351" s="1">
        <v>43194</v>
      </c>
      <c r="B351" s="3">
        <v>126</v>
      </c>
      <c r="C351" s="3">
        <v>128</v>
      </c>
      <c r="D351" s="3">
        <v>126</v>
      </c>
      <c r="E351" s="3">
        <v>128</v>
      </c>
      <c r="F351" s="4">
        <v>7488300</v>
      </c>
      <c r="G351" s="3">
        <v>126</v>
      </c>
      <c r="H351">
        <v>0</v>
      </c>
      <c r="I351">
        <v>126</v>
      </c>
      <c r="J351">
        <v>126</v>
      </c>
      <c r="K351">
        <v>123</v>
      </c>
      <c r="L351">
        <v>1</v>
      </c>
      <c r="M351">
        <v>2018</v>
      </c>
      <c r="N351">
        <v>4</v>
      </c>
      <c r="O351">
        <v>2</v>
      </c>
      <c r="P351">
        <v>2</v>
      </c>
      <c r="Q351" s="2" t="s">
        <v>17</v>
      </c>
    </row>
    <row r="352" spans="1:17" x14ac:dyDescent="0.3">
      <c r="A352" s="1">
        <v>43195</v>
      </c>
      <c r="B352" s="3">
        <v>126</v>
      </c>
      <c r="C352" s="3">
        <v>126</v>
      </c>
      <c r="D352" s="3">
        <v>125</v>
      </c>
      <c r="E352" s="3">
        <v>125</v>
      </c>
      <c r="F352" s="4">
        <v>5333000</v>
      </c>
      <c r="G352" s="3">
        <v>126</v>
      </c>
      <c r="H352">
        <v>-1</v>
      </c>
      <c r="I352">
        <v>126</v>
      </c>
      <c r="J352">
        <v>126</v>
      </c>
      <c r="K352">
        <v>123</v>
      </c>
      <c r="L352">
        <v>1</v>
      </c>
      <c r="M352">
        <v>2018</v>
      </c>
      <c r="N352">
        <v>4</v>
      </c>
      <c r="O352">
        <v>3</v>
      </c>
      <c r="P352">
        <v>2</v>
      </c>
      <c r="Q352" s="2" t="s">
        <v>17</v>
      </c>
    </row>
    <row r="353" spans="1:17" x14ac:dyDescent="0.3">
      <c r="A353" s="1">
        <v>43196</v>
      </c>
      <c r="B353" s="3">
        <v>126</v>
      </c>
      <c r="C353" s="3">
        <v>127</v>
      </c>
      <c r="D353" s="3">
        <v>126</v>
      </c>
      <c r="E353" s="3">
        <v>127</v>
      </c>
      <c r="F353" s="4">
        <v>6121200</v>
      </c>
      <c r="G353" s="3">
        <v>126</v>
      </c>
      <c r="H353">
        <v>0</v>
      </c>
      <c r="I353">
        <v>126</v>
      </c>
      <c r="J353">
        <v>126</v>
      </c>
      <c r="K353">
        <v>123</v>
      </c>
      <c r="L353">
        <v>1</v>
      </c>
      <c r="M353">
        <v>2018</v>
      </c>
      <c r="N353">
        <v>4</v>
      </c>
      <c r="O353">
        <v>4</v>
      </c>
      <c r="P353">
        <v>2</v>
      </c>
      <c r="Q353" s="2" t="s">
        <v>17</v>
      </c>
    </row>
    <row r="354" spans="1:17" x14ac:dyDescent="0.3">
      <c r="A354" s="1">
        <v>43199</v>
      </c>
      <c r="B354" s="3">
        <v>127</v>
      </c>
      <c r="C354" s="3">
        <v>127</v>
      </c>
      <c r="D354" s="3">
        <v>126</v>
      </c>
      <c r="E354" s="3">
        <v>126</v>
      </c>
      <c r="F354" s="4">
        <v>4189900</v>
      </c>
      <c r="G354" s="3">
        <v>127</v>
      </c>
      <c r="H354">
        <v>0</v>
      </c>
      <c r="I354">
        <v>126</v>
      </c>
      <c r="J354">
        <v>126</v>
      </c>
      <c r="K354">
        <v>123</v>
      </c>
      <c r="L354">
        <v>1</v>
      </c>
      <c r="M354">
        <v>2018</v>
      </c>
      <c r="N354">
        <v>4</v>
      </c>
      <c r="O354">
        <v>0</v>
      </c>
      <c r="P354">
        <v>2</v>
      </c>
      <c r="Q354" s="2" t="s">
        <v>17</v>
      </c>
    </row>
    <row r="355" spans="1:17" x14ac:dyDescent="0.3">
      <c r="A355" s="1">
        <v>43200</v>
      </c>
      <c r="B355" s="3">
        <v>127</v>
      </c>
      <c r="C355" s="3">
        <v>127</v>
      </c>
      <c r="D355" s="3">
        <v>127</v>
      </c>
      <c r="E355" s="3">
        <v>127</v>
      </c>
      <c r="F355" s="4">
        <v>5268800</v>
      </c>
      <c r="G355" s="3">
        <v>127</v>
      </c>
      <c r="H355">
        <v>0</v>
      </c>
      <c r="I355">
        <v>126</v>
      </c>
      <c r="J355">
        <v>126</v>
      </c>
      <c r="K355">
        <v>123</v>
      </c>
      <c r="L355">
        <v>1</v>
      </c>
      <c r="M355">
        <v>2018</v>
      </c>
      <c r="N355">
        <v>4</v>
      </c>
      <c r="O355">
        <v>1</v>
      </c>
      <c r="P355">
        <v>2</v>
      </c>
      <c r="Q355" s="2" t="s">
        <v>17</v>
      </c>
    </row>
    <row r="356" spans="1:17" x14ac:dyDescent="0.3">
      <c r="A356" s="1">
        <v>43201</v>
      </c>
      <c r="B356" s="3">
        <v>128</v>
      </c>
      <c r="C356" s="3">
        <v>129</v>
      </c>
      <c r="D356" s="3">
        <v>128</v>
      </c>
      <c r="E356" s="3">
        <v>128</v>
      </c>
      <c r="F356" s="4">
        <v>12348600</v>
      </c>
      <c r="G356" s="3">
        <v>128</v>
      </c>
      <c r="H356">
        <v>1</v>
      </c>
      <c r="I356">
        <v>126</v>
      </c>
      <c r="J356">
        <v>126</v>
      </c>
      <c r="K356">
        <v>123</v>
      </c>
      <c r="L356">
        <v>1</v>
      </c>
      <c r="M356">
        <v>2018</v>
      </c>
      <c r="N356">
        <v>4</v>
      </c>
      <c r="O356">
        <v>2</v>
      </c>
      <c r="P356">
        <v>2</v>
      </c>
      <c r="Q356" s="2" t="s">
        <v>17</v>
      </c>
    </row>
    <row r="357" spans="1:17" x14ac:dyDescent="0.3">
      <c r="A357" s="1">
        <v>43202</v>
      </c>
      <c r="B357" s="3">
        <v>127</v>
      </c>
      <c r="C357" s="3">
        <v>127</v>
      </c>
      <c r="D357" s="3">
        <v>126</v>
      </c>
      <c r="E357" s="3">
        <v>127</v>
      </c>
      <c r="F357" s="4">
        <v>8141300</v>
      </c>
      <c r="G357" s="3">
        <v>127</v>
      </c>
      <c r="H357">
        <v>-1</v>
      </c>
      <c r="I357">
        <v>126</v>
      </c>
      <c r="J357">
        <v>126</v>
      </c>
      <c r="K357">
        <v>123</v>
      </c>
      <c r="L357">
        <v>1</v>
      </c>
      <c r="M357">
        <v>2018</v>
      </c>
      <c r="N357">
        <v>4</v>
      </c>
      <c r="O357">
        <v>3</v>
      </c>
      <c r="P357">
        <v>2</v>
      </c>
      <c r="Q357" s="2" t="s">
        <v>17</v>
      </c>
    </row>
    <row r="358" spans="1:17" x14ac:dyDescent="0.3">
      <c r="A358" s="1">
        <v>43203</v>
      </c>
      <c r="B358" s="3">
        <v>127</v>
      </c>
      <c r="C358" s="3">
        <v>128</v>
      </c>
      <c r="D358" s="3">
        <v>127</v>
      </c>
      <c r="E358" s="3">
        <v>127</v>
      </c>
      <c r="F358" s="4">
        <v>6821300</v>
      </c>
      <c r="G358" s="3">
        <v>127</v>
      </c>
      <c r="H358">
        <v>1</v>
      </c>
      <c r="I358">
        <v>126</v>
      </c>
      <c r="J358">
        <v>126</v>
      </c>
      <c r="K358">
        <v>123</v>
      </c>
      <c r="L358">
        <v>1</v>
      </c>
      <c r="M358">
        <v>2018</v>
      </c>
      <c r="N358">
        <v>4</v>
      </c>
      <c r="O358">
        <v>4</v>
      </c>
      <c r="P358">
        <v>2</v>
      </c>
      <c r="Q358" s="2" t="s">
        <v>17</v>
      </c>
    </row>
    <row r="359" spans="1:17" x14ac:dyDescent="0.3">
      <c r="A359" s="1">
        <v>43206</v>
      </c>
      <c r="B359" s="3">
        <v>128</v>
      </c>
      <c r="C359" s="3">
        <v>128</v>
      </c>
      <c r="D359" s="3">
        <v>128</v>
      </c>
      <c r="E359" s="3">
        <v>128</v>
      </c>
      <c r="F359" s="4">
        <v>4600000</v>
      </c>
      <c r="G359" s="3">
        <v>128</v>
      </c>
      <c r="H359">
        <v>0</v>
      </c>
      <c r="I359">
        <v>127</v>
      </c>
      <c r="J359">
        <v>126</v>
      </c>
      <c r="K359">
        <v>123</v>
      </c>
      <c r="L359">
        <v>1</v>
      </c>
      <c r="M359">
        <v>2018</v>
      </c>
      <c r="N359">
        <v>4</v>
      </c>
      <c r="O359">
        <v>0</v>
      </c>
      <c r="P359">
        <v>2</v>
      </c>
      <c r="Q359" s="2" t="s">
        <v>17</v>
      </c>
    </row>
    <row r="360" spans="1:17" x14ac:dyDescent="0.3">
      <c r="A360" s="1">
        <v>43207</v>
      </c>
      <c r="B360" s="3">
        <v>128</v>
      </c>
      <c r="C360" s="3">
        <v>128</v>
      </c>
      <c r="D360" s="3">
        <v>127</v>
      </c>
      <c r="E360" s="3">
        <v>127</v>
      </c>
      <c r="F360" s="4">
        <v>4184100</v>
      </c>
      <c r="G360" s="3">
        <v>128</v>
      </c>
      <c r="H360">
        <v>0</v>
      </c>
      <c r="I360">
        <v>127</v>
      </c>
      <c r="J360">
        <v>126</v>
      </c>
      <c r="K360">
        <v>123</v>
      </c>
      <c r="L360">
        <v>1</v>
      </c>
      <c r="M360">
        <v>2018</v>
      </c>
      <c r="N360">
        <v>4</v>
      </c>
      <c r="O360">
        <v>1</v>
      </c>
      <c r="P360">
        <v>2</v>
      </c>
      <c r="Q360" s="2" t="s">
        <v>17</v>
      </c>
    </row>
    <row r="361" spans="1:17" x14ac:dyDescent="0.3">
      <c r="A361" s="1">
        <v>43208</v>
      </c>
      <c r="B361" s="3">
        <v>128</v>
      </c>
      <c r="C361" s="3">
        <v>129</v>
      </c>
      <c r="D361" s="3">
        <v>128</v>
      </c>
      <c r="E361" s="3">
        <v>128</v>
      </c>
      <c r="F361" s="4">
        <v>6755600</v>
      </c>
      <c r="G361" s="3">
        <v>128</v>
      </c>
      <c r="H361">
        <v>0</v>
      </c>
      <c r="I361">
        <v>127</v>
      </c>
      <c r="J361">
        <v>126</v>
      </c>
      <c r="K361">
        <v>123</v>
      </c>
      <c r="L361">
        <v>1</v>
      </c>
      <c r="M361">
        <v>2018</v>
      </c>
      <c r="N361">
        <v>4</v>
      </c>
      <c r="O361">
        <v>2</v>
      </c>
      <c r="P361">
        <v>2</v>
      </c>
      <c r="Q361" s="2" t="s">
        <v>17</v>
      </c>
    </row>
    <row r="362" spans="1:17" x14ac:dyDescent="0.3">
      <c r="A362" s="1">
        <v>43209</v>
      </c>
      <c r="B362" s="3">
        <v>128</v>
      </c>
      <c r="C362" s="3">
        <v>128</v>
      </c>
      <c r="D362" s="3">
        <v>127</v>
      </c>
      <c r="E362" s="3">
        <v>128</v>
      </c>
      <c r="F362" s="4">
        <v>8736100</v>
      </c>
      <c r="G362" s="3">
        <v>128</v>
      </c>
      <c r="H362">
        <v>0</v>
      </c>
      <c r="I362">
        <v>127</v>
      </c>
      <c r="J362">
        <v>126</v>
      </c>
      <c r="K362">
        <v>123</v>
      </c>
      <c r="L362">
        <v>1</v>
      </c>
      <c r="M362">
        <v>2018</v>
      </c>
      <c r="N362">
        <v>4</v>
      </c>
      <c r="O362">
        <v>3</v>
      </c>
      <c r="P362">
        <v>2</v>
      </c>
      <c r="Q362" s="2" t="s">
        <v>17</v>
      </c>
    </row>
    <row r="363" spans="1:17" x14ac:dyDescent="0.3">
      <c r="A363" s="1">
        <v>43210</v>
      </c>
      <c r="B363" s="3">
        <v>127</v>
      </c>
      <c r="C363" s="3">
        <v>127</v>
      </c>
      <c r="D363" s="3">
        <v>127</v>
      </c>
      <c r="E363" s="3">
        <v>127</v>
      </c>
      <c r="F363" s="4">
        <v>10403100</v>
      </c>
      <c r="G363" s="3">
        <v>127</v>
      </c>
      <c r="H363">
        <v>-1</v>
      </c>
      <c r="I363">
        <v>127</v>
      </c>
      <c r="J363">
        <v>126</v>
      </c>
      <c r="K363">
        <v>123</v>
      </c>
      <c r="L363">
        <v>1</v>
      </c>
      <c r="M363">
        <v>2018</v>
      </c>
      <c r="N363">
        <v>4</v>
      </c>
      <c r="O363">
        <v>4</v>
      </c>
      <c r="P363">
        <v>2</v>
      </c>
      <c r="Q363" s="2" t="s">
        <v>17</v>
      </c>
    </row>
    <row r="364" spans="1:17" x14ac:dyDescent="0.3">
      <c r="A364" s="1">
        <v>43213</v>
      </c>
      <c r="B364" s="3">
        <v>126</v>
      </c>
      <c r="C364" s="3">
        <v>126</v>
      </c>
      <c r="D364" s="3">
        <v>125</v>
      </c>
      <c r="E364" s="3">
        <v>126</v>
      </c>
      <c r="F364" s="4">
        <v>6921500</v>
      </c>
      <c r="G364" s="3">
        <v>126</v>
      </c>
      <c r="H364">
        <v>-1</v>
      </c>
      <c r="I364">
        <v>127</v>
      </c>
      <c r="J364">
        <v>126</v>
      </c>
      <c r="K364">
        <v>123</v>
      </c>
      <c r="L364">
        <v>1</v>
      </c>
      <c r="M364">
        <v>2018</v>
      </c>
      <c r="N364">
        <v>4</v>
      </c>
      <c r="O364">
        <v>0</v>
      </c>
      <c r="P364">
        <v>2</v>
      </c>
      <c r="Q364" s="2" t="s">
        <v>17</v>
      </c>
    </row>
    <row r="365" spans="1:17" x14ac:dyDescent="0.3">
      <c r="A365" s="1">
        <v>43214</v>
      </c>
      <c r="B365" s="3">
        <v>126</v>
      </c>
      <c r="C365" s="3">
        <v>126</v>
      </c>
      <c r="D365" s="3">
        <v>126</v>
      </c>
      <c r="E365" s="3">
        <v>126</v>
      </c>
      <c r="F365" s="4">
        <v>4733100</v>
      </c>
      <c r="G365" s="3">
        <v>126</v>
      </c>
      <c r="H365">
        <v>0</v>
      </c>
      <c r="I365">
        <v>127</v>
      </c>
      <c r="J365">
        <v>126</v>
      </c>
      <c r="K365">
        <v>123</v>
      </c>
      <c r="L365">
        <v>1</v>
      </c>
      <c r="M365">
        <v>2018</v>
      </c>
      <c r="N365">
        <v>4</v>
      </c>
      <c r="O365">
        <v>1</v>
      </c>
      <c r="P365">
        <v>2</v>
      </c>
      <c r="Q365" s="2" t="s">
        <v>17</v>
      </c>
    </row>
    <row r="366" spans="1:17" x14ac:dyDescent="0.3">
      <c r="A366" s="1">
        <v>43215</v>
      </c>
      <c r="B366" s="3">
        <v>125</v>
      </c>
      <c r="C366" s="3">
        <v>126</v>
      </c>
      <c r="D366" s="3">
        <v>125</v>
      </c>
      <c r="E366" s="3">
        <v>125</v>
      </c>
      <c r="F366" s="4">
        <v>5985700</v>
      </c>
      <c r="G366" s="3">
        <v>125</v>
      </c>
      <c r="H366">
        <v>-1</v>
      </c>
      <c r="I366">
        <v>127</v>
      </c>
      <c r="J366">
        <v>126</v>
      </c>
      <c r="K366">
        <v>123</v>
      </c>
      <c r="L366">
        <v>1</v>
      </c>
      <c r="M366">
        <v>2018</v>
      </c>
      <c r="N366">
        <v>4</v>
      </c>
      <c r="O366">
        <v>2</v>
      </c>
      <c r="P366">
        <v>2</v>
      </c>
      <c r="Q366" s="2" t="s">
        <v>17</v>
      </c>
    </row>
    <row r="367" spans="1:17" x14ac:dyDescent="0.3">
      <c r="A367" s="1">
        <v>43216</v>
      </c>
      <c r="B367" s="3">
        <v>125</v>
      </c>
      <c r="C367" s="3">
        <v>126</v>
      </c>
      <c r="D367" s="3">
        <v>125</v>
      </c>
      <c r="E367" s="3">
        <v>126</v>
      </c>
      <c r="F367" s="4">
        <v>7517100</v>
      </c>
      <c r="G367" s="3">
        <v>125</v>
      </c>
      <c r="H367">
        <v>0</v>
      </c>
      <c r="I367">
        <v>127</v>
      </c>
      <c r="J367">
        <v>126</v>
      </c>
      <c r="K367">
        <v>124</v>
      </c>
      <c r="L367">
        <v>1</v>
      </c>
      <c r="M367">
        <v>2018</v>
      </c>
      <c r="N367">
        <v>4</v>
      </c>
      <c r="O367">
        <v>3</v>
      </c>
      <c r="P367">
        <v>2</v>
      </c>
      <c r="Q367" s="2" t="s">
        <v>17</v>
      </c>
    </row>
    <row r="368" spans="1:17" x14ac:dyDescent="0.3">
      <c r="A368" s="1">
        <v>43217</v>
      </c>
      <c r="B368" s="3">
        <v>126</v>
      </c>
      <c r="C368" s="3">
        <v>126</v>
      </c>
      <c r="D368" s="3">
        <v>125</v>
      </c>
      <c r="E368" s="3">
        <v>125</v>
      </c>
      <c r="F368" s="4">
        <v>5654000</v>
      </c>
      <c r="G368" s="3">
        <v>126</v>
      </c>
      <c r="H368">
        <v>0</v>
      </c>
      <c r="I368">
        <v>127</v>
      </c>
      <c r="J368">
        <v>126</v>
      </c>
      <c r="K368">
        <v>124</v>
      </c>
      <c r="L368">
        <v>1</v>
      </c>
      <c r="M368">
        <v>2018</v>
      </c>
      <c r="N368">
        <v>4</v>
      </c>
      <c r="O368">
        <v>4</v>
      </c>
      <c r="P368">
        <v>2</v>
      </c>
      <c r="Q368" s="2" t="s">
        <v>17</v>
      </c>
    </row>
    <row r="369" spans="1:17" x14ac:dyDescent="0.3">
      <c r="A369" s="1">
        <v>43220</v>
      </c>
      <c r="B369" s="3">
        <v>125</v>
      </c>
      <c r="C369" s="3">
        <v>125</v>
      </c>
      <c r="D369" s="3">
        <v>124</v>
      </c>
      <c r="E369" s="3">
        <v>124</v>
      </c>
      <c r="F369" s="4">
        <v>9830600</v>
      </c>
      <c r="G369" s="3">
        <v>125</v>
      </c>
      <c r="H369">
        <v>-1</v>
      </c>
      <c r="I369">
        <v>127</v>
      </c>
      <c r="J369">
        <v>126</v>
      </c>
      <c r="K369">
        <v>124</v>
      </c>
      <c r="L369">
        <v>1</v>
      </c>
      <c r="M369">
        <v>2018</v>
      </c>
      <c r="N369">
        <v>4</v>
      </c>
      <c r="O369">
        <v>0</v>
      </c>
      <c r="P369">
        <v>2</v>
      </c>
      <c r="Q369" s="2" t="s">
        <v>17</v>
      </c>
    </row>
    <row r="370" spans="1:17" x14ac:dyDescent="0.3">
      <c r="A370" s="1">
        <v>43221</v>
      </c>
      <c r="B370" s="3">
        <v>124</v>
      </c>
      <c r="C370" s="3">
        <v>124</v>
      </c>
      <c r="D370" s="3">
        <v>123</v>
      </c>
      <c r="E370" s="3">
        <v>124</v>
      </c>
      <c r="F370" s="4">
        <v>7551600</v>
      </c>
      <c r="G370" s="3">
        <v>124</v>
      </c>
      <c r="H370">
        <v>-1</v>
      </c>
      <c r="I370">
        <v>126</v>
      </c>
      <c r="J370">
        <v>126</v>
      </c>
      <c r="K370">
        <v>124</v>
      </c>
      <c r="L370">
        <v>1</v>
      </c>
      <c r="M370">
        <v>2018</v>
      </c>
      <c r="N370">
        <v>5</v>
      </c>
      <c r="O370">
        <v>1</v>
      </c>
      <c r="P370">
        <v>2</v>
      </c>
      <c r="Q370" s="2" t="s">
        <v>17</v>
      </c>
    </row>
    <row r="371" spans="1:17" x14ac:dyDescent="0.3">
      <c r="A371" s="1">
        <v>43222</v>
      </c>
      <c r="B371" s="3">
        <v>124</v>
      </c>
      <c r="C371" s="3">
        <v>125</v>
      </c>
      <c r="D371" s="3">
        <v>124</v>
      </c>
      <c r="E371" s="3">
        <v>124</v>
      </c>
      <c r="F371" s="4">
        <v>7614000</v>
      </c>
      <c r="G371" s="3">
        <v>124</v>
      </c>
      <c r="H371">
        <v>0</v>
      </c>
      <c r="I371">
        <v>126</v>
      </c>
      <c r="J371">
        <v>126</v>
      </c>
      <c r="K371">
        <v>124</v>
      </c>
      <c r="L371">
        <v>1</v>
      </c>
      <c r="M371">
        <v>2018</v>
      </c>
      <c r="N371">
        <v>5</v>
      </c>
      <c r="O371">
        <v>2</v>
      </c>
      <c r="P371">
        <v>2</v>
      </c>
      <c r="Q371" s="2" t="s">
        <v>17</v>
      </c>
    </row>
    <row r="372" spans="1:17" x14ac:dyDescent="0.3">
      <c r="A372" s="1">
        <v>43223</v>
      </c>
      <c r="B372" s="3">
        <v>124</v>
      </c>
      <c r="C372" s="3">
        <v>125</v>
      </c>
      <c r="D372" s="3">
        <v>124</v>
      </c>
      <c r="E372" s="3">
        <v>125</v>
      </c>
      <c r="F372" s="4">
        <v>4857400</v>
      </c>
      <c r="G372" s="3">
        <v>124</v>
      </c>
      <c r="H372">
        <v>1</v>
      </c>
      <c r="I372">
        <v>126</v>
      </c>
      <c r="J372">
        <v>126</v>
      </c>
      <c r="K372">
        <v>124</v>
      </c>
      <c r="L372">
        <v>1</v>
      </c>
      <c r="M372">
        <v>2018</v>
      </c>
      <c r="N372">
        <v>5</v>
      </c>
      <c r="O372">
        <v>3</v>
      </c>
      <c r="P372">
        <v>2</v>
      </c>
      <c r="Q372" s="2" t="s">
        <v>17</v>
      </c>
    </row>
    <row r="373" spans="1:17" x14ac:dyDescent="0.3">
      <c r="A373" s="1">
        <v>43224</v>
      </c>
      <c r="B373" s="3">
        <v>125</v>
      </c>
      <c r="C373" s="3">
        <v>125</v>
      </c>
      <c r="D373" s="3">
        <v>124</v>
      </c>
      <c r="E373" s="3">
        <v>124</v>
      </c>
      <c r="F373" s="4">
        <v>5883600</v>
      </c>
      <c r="G373" s="3">
        <v>125</v>
      </c>
      <c r="H373">
        <v>0</v>
      </c>
      <c r="I373">
        <v>126</v>
      </c>
      <c r="J373">
        <v>126</v>
      </c>
      <c r="K373">
        <v>124</v>
      </c>
      <c r="L373">
        <v>1</v>
      </c>
      <c r="M373">
        <v>2018</v>
      </c>
      <c r="N373">
        <v>5</v>
      </c>
      <c r="O373">
        <v>4</v>
      </c>
      <c r="P373">
        <v>2</v>
      </c>
      <c r="Q373" s="2" t="s">
        <v>17</v>
      </c>
    </row>
    <row r="374" spans="1:17" x14ac:dyDescent="0.3">
      <c r="A374" s="1">
        <v>43227</v>
      </c>
      <c r="B374" s="3">
        <v>125</v>
      </c>
      <c r="C374" s="3">
        <v>125</v>
      </c>
      <c r="D374" s="3">
        <v>124</v>
      </c>
      <c r="E374" s="3">
        <v>125</v>
      </c>
      <c r="F374" s="4">
        <v>3397500</v>
      </c>
      <c r="G374" s="3">
        <v>125</v>
      </c>
      <c r="H374">
        <v>0</v>
      </c>
      <c r="I374">
        <v>126</v>
      </c>
      <c r="J374">
        <v>126</v>
      </c>
      <c r="K374">
        <v>124</v>
      </c>
      <c r="L374">
        <v>1</v>
      </c>
      <c r="M374">
        <v>2018</v>
      </c>
      <c r="N374">
        <v>5</v>
      </c>
      <c r="O374">
        <v>0</v>
      </c>
      <c r="P374">
        <v>2</v>
      </c>
      <c r="Q374" s="2" t="s">
        <v>17</v>
      </c>
    </row>
    <row r="375" spans="1:17" x14ac:dyDescent="0.3">
      <c r="A375" s="1">
        <v>43228</v>
      </c>
      <c r="B375" s="3">
        <v>125</v>
      </c>
      <c r="C375" s="3">
        <v>125</v>
      </c>
      <c r="D375" s="3">
        <v>124</v>
      </c>
      <c r="E375" s="3">
        <v>124</v>
      </c>
      <c r="F375" s="4">
        <v>5551100</v>
      </c>
      <c r="G375" s="3">
        <v>125</v>
      </c>
      <c r="H375">
        <v>0</v>
      </c>
      <c r="I375">
        <v>126</v>
      </c>
      <c r="J375">
        <v>126</v>
      </c>
      <c r="K375">
        <v>124</v>
      </c>
      <c r="L375">
        <v>1</v>
      </c>
      <c r="M375">
        <v>2018</v>
      </c>
      <c r="N375">
        <v>5</v>
      </c>
      <c r="O375">
        <v>1</v>
      </c>
      <c r="P375">
        <v>2</v>
      </c>
      <c r="Q375" s="2" t="s">
        <v>17</v>
      </c>
    </row>
    <row r="376" spans="1:17" x14ac:dyDescent="0.3">
      <c r="A376" s="1">
        <v>43229</v>
      </c>
      <c r="B376" s="3">
        <v>124</v>
      </c>
      <c r="C376" s="3">
        <v>125</v>
      </c>
      <c r="D376" s="3">
        <v>124</v>
      </c>
      <c r="E376" s="3">
        <v>124</v>
      </c>
      <c r="F376" s="4">
        <v>4405600</v>
      </c>
      <c r="G376" s="3">
        <v>124</v>
      </c>
      <c r="H376">
        <v>0</v>
      </c>
      <c r="I376">
        <v>126</v>
      </c>
      <c r="J376">
        <v>126</v>
      </c>
      <c r="K376">
        <v>124</v>
      </c>
      <c r="L376">
        <v>1</v>
      </c>
      <c r="M376">
        <v>2018</v>
      </c>
      <c r="N376">
        <v>5</v>
      </c>
      <c r="O376">
        <v>2</v>
      </c>
      <c r="P376">
        <v>2</v>
      </c>
      <c r="Q376" s="2" t="s">
        <v>17</v>
      </c>
    </row>
    <row r="377" spans="1:17" x14ac:dyDescent="0.3">
      <c r="A377" s="1">
        <v>43230</v>
      </c>
      <c r="B377" s="3">
        <v>125</v>
      </c>
      <c r="C377" s="3">
        <v>125</v>
      </c>
      <c r="D377" s="3">
        <v>125</v>
      </c>
      <c r="E377" s="3">
        <v>125</v>
      </c>
      <c r="F377" s="4">
        <v>5218400</v>
      </c>
      <c r="G377" s="3">
        <v>125</v>
      </c>
      <c r="H377">
        <v>1</v>
      </c>
      <c r="I377">
        <v>126</v>
      </c>
      <c r="J377">
        <v>126</v>
      </c>
      <c r="K377">
        <v>124</v>
      </c>
      <c r="L377">
        <v>0</v>
      </c>
      <c r="M377">
        <v>2018</v>
      </c>
      <c r="N377">
        <v>5</v>
      </c>
      <c r="O377">
        <v>3</v>
      </c>
      <c r="P377">
        <v>2</v>
      </c>
      <c r="Q377" s="2" t="s">
        <v>17</v>
      </c>
    </row>
    <row r="378" spans="1:17" x14ac:dyDescent="0.3">
      <c r="A378" s="1">
        <v>43231</v>
      </c>
      <c r="B378" s="3">
        <v>125</v>
      </c>
      <c r="C378" s="3">
        <v>126</v>
      </c>
      <c r="D378" s="3">
        <v>125</v>
      </c>
      <c r="E378" s="3">
        <v>126</v>
      </c>
      <c r="F378" s="4">
        <v>4299200</v>
      </c>
      <c r="G378" s="3">
        <v>125</v>
      </c>
      <c r="H378">
        <v>0</v>
      </c>
      <c r="I378">
        <v>125</v>
      </c>
      <c r="J378">
        <v>126</v>
      </c>
      <c r="K378">
        <v>124</v>
      </c>
      <c r="L378">
        <v>0</v>
      </c>
      <c r="M378">
        <v>2018</v>
      </c>
      <c r="N378">
        <v>5</v>
      </c>
      <c r="O378">
        <v>4</v>
      </c>
      <c r="P378">
        <v>2</v>
      </c>
      <c r="Q378" s="2" t="s">
        <v>17</v>
      </c>
    </row>
    <row r="379" spans="1:17" x14ac:dyDescent="0.3">
      <c r="A379" s="1">
        <v>43234</v>
      </c>
      <c r="B379" s="3">
        <v>124</v>
      </c>
      <c r="C379" s="3">
        <v>125</v>
      </c>
      <c r="D379" s="3">
        <v>124</v>
      </c>
      <c r="E379" s="3">
        <v>125</v>
      </c>
      <c r="F379" s="4">
        <v>3753200</v>
      </c>
      <c r="G379" s="3">
        <v>124</v>
      </c>
      <c r="H379">
        <v>0</v>
      </c>
      <c r="I379">
        <v>125</v>
      </c>
      <c r="J379">
        <v>126</v>
      </c>
      <c r="K379">
        <v>124</v>
      </c>
      <c r="L379">
        <v>0</v>
      </c>
      <c r="M379">
        <v>2018</v>
      </c>
      <c r="N379">
        <v>5</v>
      </c>
      <c r="O379">
        <v>0</v>
      </c>
      <c r="P379">
        <v>2</v>
      </c>
      <c r="Q379" s="2" t="s">
        <v>17</v>
      </c>
    </row>
    <row r="380" spans="1:17" x14ac:dyDescent="0.3">
      <c r="A380" s="1">
        <v>43235</v>
      </c>
      <c r="B380" s="3">
        <v>122</v>
      </c>
      <c r="C380" s="3">
        <v>123</v>
      </c>
      <c r="D380" s="3">
        <v>122</v>
      </c>
      <c r="E380" s="3">
        <v>123</v>
      </c>
      <c r="F380" s="4">
        <v>10911900</v>
      </c>
      <c r="G380" s="3">
        <v>122</v>
      </c>
      <c r="H380">
        <v>-2</v>
      </c>
      <c r="I380">
        <v>125</v>
      </c>
      <c r="J380">
        <v>126</v>
      </c>
      <c r="K380">
        <v>124</v>
      </c>
      <c r="L380">
        <v>1</v>
      </c>
      <c r="M380">
        <v>2018</v>
      </c>
      <c r="N380">
        <v>5</v>
      </c>
      <c r="O380">
        <v>1</v>
      </c>
      <c r="P380">
        <v>2</v>
      </c>
      <c r="Q380" s="2" t="s">
        <v>17</v>
      </c>
    </row>
    <row r="381" spans="1:17" x14ac:dyDescent="0.3">
      <c r="A381" s="1">
        <v>43236</v>
      </c>
      <c r="B381" s="3">
        <v>122</v>
      </c>
      <c r="C381" s="3">
        <v>123</v>
      </c>
      <c r="D381" s="3">
        <v>122</v>
      </c>
      <c r="E381" s="3">
        <v>122</v>
      </c>
      <c r="F381" s="4">
        <v>4943300</v>
      </c>
      <c r="G381" s="3">
        <v>122</v>
      </c>
      <c r="H381">
        <v>0</v>
      </c>
      <c r="I381">
        <v>125</v>
      </c>
      <c r="J381">
        <v>126</v>
      </c>
      <c r="K381">
        <v>124</v>
      </c>
      <c r="L381">
        <v>1</v>
      </c>
      <c r="M381">
        <v>2018</v>
      </c>
      <c r="N381">
        <v>5</v>
      </c>
      <c r="O381">
        <v>2</v>
      </c>
      <c r="P381">
        <v>2</v>
      </c>
      <c r="Q381" s="2" t="s">
        <v>17</v>
      </c>
    </row>
    <row r="382" spans="1:17" x14ac:dyDescent="0.3">
      <c r="A382" s="1">
        <v>43237</v>
      </c>
      <c r="B382" s="3">
        <v>122</v>
      </c>
      <c r="C382" s="3">
        <v>122</v>
      </c>
      <c r="D382" s="3">
        <v>122</v>
      </c>
      <c r="E382" s="3">
        <v>122</v>
      </c>
      <c r="F382" s="4">
        <v>7781300</v>
      </c>
      <c r="G382" s="3">
        <v>122</v>
      </c>
      <c r="H382">
        <v>0</v>
      </c>
      <c r="I382">
        <v>125</v>
      </c>
      <c r="J382">
        <v>126</v>
      </c>
      <c r="K382">
        <v>124</v>
      </c>
      <c r="L382">
        <v>1</v>
      </c>
      <c r="M382">
        <v>2018</v>
      </c>
      <c r="N382">
        <v>5</v>
      </c>
      <c r="O382">
        <v>3</v>
      </c>
      <c r="P382">
        <v>2</v>
      </c>
      <c r="Q382" s="2" t="s">
        <v>17</v>
      </c>
    </row>
    <row r="383" spans="1:17" x14ac:dyDescent="0.3">
      <c r="A383" s="1">
        <v>43238</v>
      </c>
      <c r="B383" s="3">
        <v>122</v>
      </c>
      <c r="C383" s="3">
        <v>123</v>
      </c>
      <c r="D383" s="3">
        <v>122</v>
      </c>
      <c r="E383" s="3">
        <v>122</v>
      </c>
      <c r="F383" s="4">
        <v>6837100</v>
      </c>
      <c r="G383" s="3">
        <v>122</v>
      </c>
      <c r="H383">
        <v>0</v>
      </c>
      <c r="I383">
        <v>124</v>
      </c>
      <c r="J383">
        <v>126</v>
      </c>
      <c r="K383">
        <v>124</v>
      </c>
      <c r="L383">
        <v>1</v>
      </c>
      <c r="M383">
        <v>2018</v>
      </c>
      <c r="N383">
        <v>5</v>
      </c>
      <c r="O383">
        <v>4</v>
      </c>
      <c r="P383">
        <v>2</v>
      </c>
      <c r="Q383" s="2" t="s">
        <v>17</v>
      </c>
    </row>
    <row r="384" spans="1:17" x14ac:dyDescent="0.3">
      <c r="A384" s="1">
        <v>43241</v>
      </c>
      <c r="B384" s="3">
        <v>122</v>
      </c>
      <c r="C384" s="3">
        <v>123</v>
      </c>
      <c r="D384" s="3">
        <v>122</v>
      </c>
      <c r="E384" s="3">
        <v>122</v>
      </c>
      <c r="F384" s="4">
        <v>4126700</v>
      </c>
      <c r="G384" s="3">
        <v>122</v>
      </c>
      <c r="H384">
        <v>0</v>
      </c>
      <c r="I384">
        <v>124</v>
      </c>
      <c r="J384">
        <v>126</v>
      </c>
      <c r="K384">
        <v>124</v>
      </c>
      <c r="L384">
        <v>1</v>
      </c>
      <c r="M384">
        <v>2018</v>
      </c>
      <c r="N384">
        <v>5</v>
      </c>
      <c r="O384">
        <v>0</v>
      </c>
      <c r="P384">
        <v>2</v>
      </c>
      <c r="Q384" s="2" t="s">
        <v>17</v>
      </c>
    </row>
    <row r="385" spans="1:17" x14ac:dyDescent="0.3">
      <c r="A385" s="1">
        <v>43242</v>
      </c>
      <c r="B385" s="3">
        <v>122</v>
      </c>
      <c r="C385" s="3">
        <v>123</v>
      </c>
      <c r="D385" s="3">
        <v>122</v>
      </c>
      <c r="E385" s="3">
        <v>123</v>
      </c>
      <c r="F385" s="4">
        <v>4579600</v>
      </c>
      <c r="G385" s="3">
        <v>122</v>
      </c>
      <c r="H385">
        <v>0</v>
      </c>
      <c r="I385">
        <v>124</v>
      </c>
      <c r="J385">
        <v>125</v>
      </c>
      <c r="K385">
        <v>124</v>
      </c>
      <c r="L385">
        <v>1</v>
      </c>
      <c r="M385">
        <v>2018</v>
      </c>
      <c r="N385">
        <v>5</v>
      </c>
      <c r="O385">
        <v>1</v>
      </c>
      <c r="P385">
        <v>2</v>
      </c>
      <c r="Q385" s="2" t="s">
        <v>17</v>
      </c>
    </row>
    <row r="386" spans="1:17" x14ac:dyDescent="0.3">
      <c r="A386" s="1">
        <v>43243</v>
      </c>
      <c r="B386" s="3">
        <v>123</v>
      </c>
      <c r="C386" s="3">
        <v>123</v>
      </c>
      <c r="D386" s="3">
        <v>122</v>
      </c>
      <c r="E386" s="3">
        <v>122</v>
      </c>
      <c r="F386" s="4">
        <v>7007300</v>
      </c>
      <c r="G386" s="3">
        <v>123</v>
      </c>
      <c r="H386">
        <v>0</v>
      </c>
      <c r="I386">
        <v>124</v>
      </c>
      <c r="J386">
        <v>125</v>
      </c>
      <c r="K386">
        <v>124</v>
      </c>
      <c r="L386">
        <v>0</v>
      </c>
      <c r="M386">
        <v>2018</v>
      </c>
      <c r="N386">
        <v>5</v>
      </c>
      <c r="O386">
        <v>2</v>
      </c>
      <c r="P386">
        <v>2</v>
      </c>
      <c r="Q386" s="2" t="s">
        <v>17</v>
      </c>
    </row>
    <row r="387" spans="1:17" x14ac:dyDescent="0.3">
      <c r="A387" s="1">
        <v>43244</v>
      </c>
      <c r="B387" s="3">
        <v>124</v>
      </c>
      <c r="C387" s="3">
        <v>124</v>
      </c>
      <c r="D387" s="3">
        <v>123</v>
      </c>
      <c r="E387" s="3">
        <v>123</v>
      </c>
      <c r="F387" s="4">
        <v>8850100</v>
      </c>
      <c r="G387" s="3">
        <v>124</v>
      </c>
      <c r="H387">
        <v>1</v>
      </c>
      <c r="I387">
        <v>124</v>
      </c>
      <c r="J387">
        <v>125</v>
      </c>
      <c r="K387">
        <v>124</v>
      </c>
      <c r="L387">
        <v>1</v>
      </c>
      <c r="M387">
        <v>2018</v>
      </c>
      <c r="N387">
        <v>5</v>
      </c>
      <c r="O387">
        <v>3</v>
      </c>
      <c r="P387">
        <v>2</v>
      </c>
      <c r="Q387" s="2" t="s">
        <v>17</v>
      </c>
    </row>
    <row r="388" spans="1:17" x14ac:dyDescent="0.3">
      <c r="A388" s="1">
        <v>43245</v>
      </c>
      <c r="B388" s="3">
        <v>123</v>
      </c>
      <c r="C388" s="3">
        <v>124</v>
      </c>
      <c r="D388" s="3">
        <v>123</v>
      </c>
      <c r="E388" s="3">
        <v>124</v>
      </c>
      <c r="F388" s="4">
        <v>7920700</v>
      </c>
      <c r="G388" s="3">
        <v>123</v>
      </c>
      <c r="H388">
        <v>0</v>
      </c>
      <c r="I388">
        <v>124</v>
      </c>
      <c r="J388">
        <v>125</v>
      </c>
      <c r="K388">
        <v>124</v>
      </c>
      <c r="L388">
        <v>1</v>
      </c>
      <c r="M388">
        <v>2018</v>
      </c>
      <c r="N388">
        <v>5</v>
      </c>
      <c r="O388">
        <v>4</v>
      </c>
      <c r="P388">
        <v>2</v>
      </c>
      <c r="Q388" s="2" t="s">
        <v>17</v>
      </c>
    </row>
    <row r="389" spans="1:17" x14ac:dyDescent="0.3">
      <c r="A389" s="1">
        <v>43249</v>
      </c>
      <c r="B389" s="3">
        <v>123</v>
      </c>
      <c r="C389" s="3">
        <v>124</v>
      </c>
      <c r="D389" s="3">
        <v>123</v>
      </c>
      <c r="E389" s="3">
        <v>123</v>
      </c>
      <c r="F389" s="4">
        <v>9013200</v>
      </c>
      <c r="G389" s="3">
        <v>123</v>
      </c>
      <c r="H389">
        <v>0</v>
      </c>
      <c r="I389">
        <v>124</v>
      </c>
      <c r="J389">
        <v>125</v>
      </c>
      <c r="K389">
        <v>124</v>
      </c>
      <c r="L389">
        <v>1</v>
      </c>
      <c r="M389">
        <v>2018</v>
      </c>
      <c r="N389">
        <v>5</v>
      </c>
      <c r="O389">
        <v>1</v>
      </c>
      <c r="P389">
        <v>2</v>
      </c>
      <c r="Q389" s="2" t="s">
        <v>17</v>
      </c>
    </row>
    <row r="390" spans="1:17" x14ac:dyDescent="0.3">
      <c r="A390" s="1">
        <v>43250</v>
      </c>
      <c r="B390" s="3">
        <v>123</v>
      </c>
      <c r="C390" s="3">
        <v>124</v>
      </c>
      <c r="D390" s="3">
        <v>123</v>
      </c>
      <c r="E390" s="3">
        <v>123</v>
      </c>
      <c r="F390" s="4">
        <v>4573700</v>
      </c>
      <c r="G390" s="3">
        <v>123</v>
      </c>
      <c r="H390">
        <v>0</v>
      </c>
      <c r="I390">
        <v>124</v>
      </c>
      <c r="J390">
        <v>125</v>
      </c>
      <c r="K390">
        <v>124</v>
      </c>
      <c r="L390">
        <v>0</v>
      </c>
      <c r="M390">
        <v>2018</v>
      </c>
      <c r="N390">
        <v>5</v>
      </c>
      <c r="O390">
        <v>2</v>
      </c>
      <c r="P390">
        <v>2</v>
      </c>
      <c r="Q390" s="2" t="s">
        <v>17</v>
      </c>
    </row>
    <row r="391" spans="1:17" x14ac:dyDescent="0.3">
      <c r="A391" s="1">
        <v>43251</v>
      </c>
      <c r="B391" s="3">
        <v>123</v>
      </c>
      <c r="C391" s="3">
        <v>124</v>
      </c>
      <c r="D391" s="3">
        <v>123</v>
      </c>
      <c r="E391" s="3">
        <v>123</v>
      </c>
      <c r="F391" s="4">
        <v>7862500</v>
      </c>
      <c r="G391" s="3">
        <v>123</v>
      </c>
      <c r="H391">
        <v>0</v>
      </c>
      <c r="I391">
        <v>124</v>
      </c>
      <c r="J391">
        <v>125</v>
      </c>
      <c r="K391">
        <v>124</v>
      </c>
      <c r="L391">
        <v>0</v>
      </c>
      <c r="M391">
        <v>2018</v>
      </c>
      <c r="N391">
        <v>5</v>
      </c>
      <c r="O391">
        <v>3</v>
      </c>
      <c r="P391">
        <v>2</v>
      </c>
      <c r="Q391" s="2" t="s">
        <v>17</v>
      </c>
    </row>
    <row r="392" spans="1:17" x14ac:dyDescent="0.3">
      <c r="A392" s="1">
        <v>43252</v>
      </c>
      <c r="B392" s="3">
        <v>122</v>
      </c>
      <c r="C392" s="3">
        <v>123</v>
      </c>
      <c r="D392" s="3">
        <v>122</v>
      </c>
      <c r="E392" s="3">
        <v>123</v>
      </c>
      <c r="F392" s="4">
        <v>8059100</v>
      </c>
      <c r="G392" s="3">
        <v>122</v>
      </c>
      <c r="H392">
        <v>0</v>
      </c>
      <c r="I392">
        <v>123</v>
      </c>
      <c r="J392">
        <v>125</v>
      </c>
      <c r="K392">
        <v>124</v>
      </c>
      <c r="L392">
        <v>0</v>
      </c>
      <c r="M392">
        <v>2018</v>
      </c>
      <c r="N392">
        <v>6</v>
      </c>
      <c r="O392">
        <v>4</v>
      </c>
      <c r="P392">
        <v>2</v>
      </c>
      <c r="Q392" s="2" t="s">
        <v>17</v>
      </c>
    </row>
    <row r="393" spans="1:17" x14ac:dyDescent="0.3">
      <c r="A393" s="1">
        <v>43255</v>
      </c>
      <c r="B393" s="3">
        <v>122</v>
      </c>
      <c r="C393" s="3">
        <v>123</v>
      </c>
      <c r="D393" s="3">
        <v>122</v>
      </c>
      <c r="E393" s="3">
        <v>123</v>
      </c>
      <c r="F393" s="4">
        <v>4345400</v>
      </c>
      <c r="G393" s="3">
        <v>122</v>
      </c>
      <c r="H393">
        <v>0</v>
      </c>
      <c r="I393">
        <v>123</v>
      </c>
      <c r="J393">
        <v>125</v>
      </c>
      <c r="K393">
        <v>124</v>
      </c>
      <c r="L393">
        <v>0</v>
      </c>
      <c r="M393">
        <v>2018</v>
      </c>
      <c r="N393">
        <v>6</v>
      </c>
      <c r="O393">
        <v>0</v>
      </c>
      <c r="P393">
        <v>2</v>
      </c>
      <c r="Q393" s="2" t="s">
        <v>17</v>
      </c>
    </row>
    <row r="394" spans="1:17" x14ac:dyDescent="0.3">
      <c r="A394" s="1">
        <v>43256</v>
      </c>
      <c r="B394" s="3">
        <v>123</v>
      </c>
      <c r="C394" s="3">
        <v>123</v>
      </c>
      <c r="D394" s="3">
        <v>122</v>
      </c>
      <c r="E394" s="3">
        <v>123</v>
      </c>
      <c r="F394" s="4">
        <v>6864200</v>
      </c>
      <c r="G394" s="3">
        <v>123</v>
      </c>
      <c r="H394">
        <v>0</v>
      </c>
      <c r="I394">
        <v>123</v>
      </c>
      <c r="J394">
        <v>125</v>
      </c>
      <c r="K394">
        <v>124</v>
      </c>
      <c r="L394">
        <v>0</v>
      </c>
      <c r="M394">
        <v>2018</v>
      </c>
      <c r="N394">
        <v>6</v>
      </c>
      <c r="O394">
        <v>1</v>
      </c>
      <c r="P394">
        <v>2</v>
      </c>
      <c r="Q394" s="2" t="s">
        <v>17</v>
      </c>
    </row>
    <row r="395" spans="1:17" x14ac:dyDescent="0.3">
      <c r="A395" s="1">
        <v>43257</v>
      </c>
      <c r="B395" s="3">
        <v>123</v>
      </c>
      <c r="C395" s="3">
        <v>123</v>
      </c>
      <c r="D395" s="3">
        <v>123</v>
      </c>
      <c r="E395" s="3">
        <v>123</v>
      </c>
      <c r="F395" s="4">
        <v>4083700</v>
      </c>
      <c r="G395" s="3">
        <v>123</v>
      </c>
      <c r="H395">
        <v>0</v>
      </c>
      <c r="I395">
        <v>123</v>
      </c>
      <c r="J395">
        <v>125</v>
      </c>
      <c r="K395">
        <v>124</v>
      </c>
      <c r="L395">
        <v>0</v>
      </c>
      <c r="M395">
        <v>2018</v>
      </c>
      <c r="N395">
        <v>6</v>
      </c>
      <c r="O395">
        <v>2</v>
      </c>
      <c r="P395">
        <v>2</v>
      </c>
      <c r="Q395" s="2" t="s">
        <v>17</v>
      </c>
    </row>
    <row r="396" spans="1:17" x14ac:dyDescent="0.3">
      <c r="A396" s="1">
        <v>43258</v>
      </c>
      <c r="B396" s="3">
        <v>123</v>
      </c>
      <c r="C396" s="3">
        <v>123</v>
      </c>
      <c r="D396" s="3">
        <v>123</v>
      </c>
      <c r="E396" s="3">
        <v>123</v>
      </c>
      <c r="F396" s="4">
        <v>3700700</v>
      </c>
      <c r="G396" s="3">
        <v>123</v>
      </c>
      <c r="H396">
        <v>0</v>
      </c>
      <c r="I396">
        <v>123</v>
      </c>
      <c r="J396">
        <v>125</v>
      </c>
      <c r="K396">
        <v>124</v>
      </c>
      <c r="L396">
        <v>0</v>
      </c>
      <c r="M396">
        <v>2018</v>
      </c>
      <c r="N396">
        <v>6</v>
      </c>
      <c r="O396">
        <v>3</v>
      </c>
      <c r="P396">
        <v>2</v>
      </c>
      <c r="Q396" s="2" t="s">
        <v>17</v>
      </c>
    </row>
    <row r="397" spans="1:17" x14ac:dyDescent="0.3">
      <c r="A397" s="1">
        <v>43259</v>
      </c>
      <c r="B397" s="3">
        <v>123</v>
      </c>
      <c r="C397" s="3">
        <v>123</v>
      </c>
      <c r="D397" s="3">
        <v>123</v>
      </c>
      <c r="E397" s="3">
        <v>123</v>
      </c>
      <c r="F397" s="4">
        <v>3865700</v>
      </c>
      <c r="G397" s="3">
        <v>123</v>
      </c>
      <c r="H397">
        <v>0</v>
      </c>
      <c r="I397">
        <v>123</v>
      </c>
      <c r="J397">
        <v>125</v>
      </c>
      <c r="K397">
        <v>124</v>
      </c>
      <c r="L397">
        <v>0</v>
      </c>
      <c r="M397">
        <v>2018</v>
      </c>
      <c r="N397">
        <v>6</v>
      </c>
      <c r="O397">
        <v>4</v>
      </c>
      <c r="P397">
        <v>2</v>
      </c>
      <c r="Q397" s="2" t="s">
        <v>17</v>
      </c>
    </row>
    <row r="398" spans="1:17" x14ac:dyDescent="0.3">
      <c r="A398" s="1">
        <v>43262</v>
      </c>
      <c r="B398" s="3">
        <v>123</v>
      </c>
      <c r="C398" s="3">
        <v>123</v>
      </c>
      <c r="D398" s="3">
        <v>123</v>
      </c>
      <c r="E398" s="3">
        <v>123</v>
      </c>
      <c r="F398" s="4">
        <v>3201200</v>
      </c>
      <c r="G398" s="3">
        <v>123</v>
      </c>
      <c r="H398">
        <v>0</v>
      </c>
      <c r="I398">
        <v>123</v>
      </c>
      <c r="J398">
        <v>125</v>
      </c>
      <c r="K398">
        <v>124</v>
      </c>
      <c r="L398">
        <v>0</v>
      </c>
      <c r="M398">
        <v>2018</v>
      </c>
      <c r="N398">
        <v>6</v>
      </c>
      <c r="O398">
        <v>0</v>
      </c>
      <c r="P398">
        <v>2</v>
      </c>
      <c r="Q398" s="2" t="s">
        <v>17</v>
      </c>
    </row>
    <row r="399" spans="1:17" x14ac:dyDescent="0.3">
      <c r="A399" s="1">
        <v>43263</v>
      </c>
      <c r="B399" s="3">
        <v>123</v>
      </c>
      <c r="C399" s="3">
        <v>123</v>
      </c>
      <c r="D399" s="3">
        <v>123</v>
      </c>
      <c r="E399" s="3">
        <v>123</v>
      </c>
      <c r="F399" s="4">
        <v>7279600</v>
      </c>
      <c r="G399" s="3">
        <v>123</v>
      </c>
      <c r="H399">
        <v>0</v>
      </c>
      <c r="I399">
        <v>123</v>
      </c>
      <c r="J399">
        <v>125</v>
      </c>
      <c r="K399">
        <v>124</v>
      </c>
      <c r="L399">
        <v>0</v>
      </c>
      <c r="M399">
        <v>2018</v>
      </c>
      <c r="N399">
        <v>6</v>
      </c>
      <c r="O399">
        <v>1</v>
      </c>
      <c r="P399">
        <v>2</v>
      </c>
      <c r="Q399" s="2" t="s">
        <v>17</v>
      </c>
    </row>
    <row r="400" spans="1:17" x14ac:dyDescent="0.3">
      <c r="A400" s="1">
        <v>43264</v>
      </c>
      <c r="B400" s="3">
        <v>123</v>
      </c>
      <c r="C400" s="3">
        <v>123</v>
      </c>
      <c r="D400" s="3">
        <v>122</v>
      </c>
      <c r="E400" s="3">
        <v>123</v>
      </c>
      <c r="F400" s="4">
        <v>5867700</v>
      </c>
      <c r="G400" s="3">
        <v>123</v>
      </c>
      <c r="H400">
        <v>0</v>
      </c>
      <c r="I400">
        <v>123</v>
      </c>
      <c r="J400">
        <v>125</v>
      </c>
      <c r="K400">
        <v>124</v>
      </c>
      <c r="L400">
        <v>0</v>
      </c>
      <c r="M400">
        <v>2018</v>
      </c>
      <c r="N400">
        <v>6</v>
      </c>
      <c r="O400">
        <v>2</v>
      </c>
      <c r="P400">
        <v>2</v>
      </c>
      <c r="Q400" s="2" t="s">
        <v>17</v>
      </c>
    </row>
    <row r="401" spans="1:17" x14ac:dyDescent="0.3">
      <c r="A401" s="1">
        <v>43265</v>
      </c>
      <c r="B401" s="3">
        <v>123</v>
      </c>
      <c r="C401" s="3">
        <v>124</v>
      </c>
      <c r="D401" s="3">
        <v>123</v>
      </c>
      <c r="E401" s="3">
        <v>124</v>
      </c>
      <c r="F401" s="4">
        <v>8015400</v>
      </c>
      <c r="G401" s="3">
        <v>123</v>
      </c>
      <c r="H401">
        <v>0</v>
      </c>
      <c r="I401">
        <v>123</v>
      </c>
      <c r="J401">
        <v>124</v>
      </c>
      <c r="K401">
        <v>124</v>
      </c>
      <c r="L401">
        <v>0</v>
      </c>
      <c r="M401">
        <v>2018</v>
      </c>
      <c r="N401">
        <v>6</v>
      </c>
      <c r="O401">
        <v>3</v>
      </c>
      <c r="P401">
        <v>2</v>
      </c>
      <c r="Q401" s="2" t="s">
        <v>18</v>
      </c>
    </row>
    <row r="402" spans="1:17" x14ac:dyDescent="0.3">
      <c r="A402" s="1">
        <v>43266</v>
      </c>
      <c r="B402" s="3">
        <v>121</v>
      </c>
      <c r="C402" s="3">
        <v>122</v>
      </c>
      <c r="D402" s="3">
        <v>121</v>
      </c>
      <c r="E402" s="3">
        <v>122</v>
      </c>
      <c r="F402" s="4">
        <v>14537000</v>
      </c>
      <c r="G402" s="3">
        <v>121</v>
      </c>
      <c r="H402">
        <v>-2</v>
      </c>
      <c r="I402">
        <v>123</v>
      </c>
      <c r="J402">
        <v>124</v>
      </c>
      <c r="K402">
        <v>124</v>
      </c>
      <c r="L402">
        <v>0</v>
      </c>
      <c r="M402">
        <v>2018</v>
      </c>
      <c r="N402">
        <v>6</v>
      </c>
      <c r="O402">
        <v>4</v>
      </c>
      <c r="P402">
        <v>2</v>
      </c>
      <c r="Q402" s="2" t="s">
        <v>17</v>
      </c>
    </row>
    <row r="403" spans="1:17" x14ac:dyDescent="0.3">
      <c r="A403" s="1">
        <v>43269</v>
      </c>
      <c r="B403" s="3">
        <v>121</v>
      </c>
      <c r="C403" s="3">
        <v>121</v>
      </c>
      <c r="D403" s="3">
        <v>121</v>
      </c>
      <c r="E403" s="3">
        <v>121</v>
      </c>
      <c r="F403" s="4">
        <v>3846000</v>
      </c>
      <c r="G403" s="3">
        <v>121</v>
      </c>
      <c r="H403">
        <v>0</v>
      </c>
      <c r="I403">
        <v>123</v>
      </c>
      <c r="J403">
        <v>124</v>
      </c>
      <c r="K403">
        <v>124</v>
      </c>
      <c r="L403">
        <v>0</v>
      </c>
      <c r="M403">
        <v>2018</v>
      </c>
      <c r="N403">
        <v>6</v>
      </c>
      <c r="O403">
        <v>0</v>
      </c>
      <c r="P403">
        <v>2</v>
      </c>
      <c r="Q403" s="2" t="s">
        <v>17</v>
      </c>
    </row>
    <row r="404" spans="1:17" x14ac:dyDescent="0.3">
      <c r="A404" s="1">
        <v>43270</v>
      </c>
      <c r="B404" s="3">
        <v>121</v>
      </c>
      <c r="C404" s="3">
        <v>121</v>
      </c>
      <c r="D404" s="3">
        <v>121</v>
      </c>
      <c r="E404" s="3">
        <v>121</v>
      </c>
      <c r="F404" s="4">
        <v>4925800</v>
      </c>
      <c r="G404" s="3">
        <v>121</v>
      </c>
      <c r="H404">
        <v>0</v>
      </c>
      <c r="I404">
        <v>123</v>
      </c>
      <c r="J404">
        <v>124</v>
      </c>
      <c r="K404">
        <v>124</v>
      </c>
      <c r="L404">
        <v>0</v>
      </c>
      <c r="M404">
        <v>2018</v>
      </c>
      <c r="N404">
        <v>6</v>
      </c>
      <c r="O404">
        <v>1</v>
      </c>
      <c r="P404">
        <v>2</v>
      </c>
      <c r="Q404" s="2" t="s">
        <v>17</v>
      </c>
    </row>
    <row r="405" spans="1:17" x14ac:dyDescent="0.3">
      <c r="A405" s="1">
        <v>43271</v>
      </c>
      <c r="B405" s="3">
        <v>120</v>
      </c>
      <c r="C405" s="3">
        <v>121</v>
      </c>
      <c r="D405" s="3">
        <v>120</v>
      </c>
      <c r="E405" s="3">
        <v>121</v>
      </c>
      <c r="F405" s="4">
        <v>4548500</v>
      </c>
      <c r="G405" s="3">
        <v>120</v>
      </c>
      <c r="H405">
        <v>0</v>
      </c>
      <c r="I405">
        <v>123</v>
      </c>
      <c r="J405">
        <v>124</v>
      </c>
      <c r="K405">
        <v>124</v>
      </c>
      <c r="L405">
        <v>0</v>
      </c>
      <c r="M405">
        <v>2018</v>
      </c>
      <c r="N405">
        <v>6</v>
      </c>
      <c r="O405">
        <v>2</v>
      </c>
      <c r="P405">
        <v>2</v>
      </c>
      <c r="Q405" s="2" t="s">
        <v>17</v>
      </c>
    </row>
    <row r="406" spans="1:17" x14ac:dyDescent="0.3">
      <c r="A406" s="1">
        <v>43272</v>
      </c>
      <c r="B406" s="3">
        <v>120</v>
      </c>
      <c r="C406" s="3">
        <v>120</v>
      </c>
      <c r="D406" s="3">
        <v>120</v>
      </c>
      <c r="E406" s="3">
        <v>120</v>
      </c>
      <c r="F406" s="4">
        <v>5681900</v>
      </c>
      <c r="G406" s="3">
        <v>120</v>
      </c>
      <c r="H406">
        <v>0</v>
      </c>
      <c r="I406">
        <v>122</v>
      </c>
      <c r="J406">
        <v>124</v>
      </c>
      <c r="K406">
        <v>124</v>
      </c>
      <c r="L406">
        <v>0</v>
      </c>
      <c r="M406">
        <v>2018</v>
      </c>
      <c r="N406">
        <v>6</v>
      </c>
      <c r="O406">
        <v>3</v>
      </c>
      <c r="P406">
        <v>2</v>
      </c>
      <c r="Q406" s="2" t="s">
        <v>17</v>
      </c>
    </row>
    <row r="407" spans="1:17" x14ac:dyDescent="0.3">
      <c r="A407" s="1">
        <v>43273</v>
      </c>
      <c r="B407" s="3">
        <v>120</v>
      </c>
      <c r="C407" s="3">
        <v>120</v>
      </c>
      <c r="D407" s="3">
        <v>120</v>
      </c>
      <c r="E407" s="3">
        <v>120</v>
      </c>
      <c r="F407" s="4">
        <v>4489400</v>
      </c>
      <c r="G407" s="3">
        <v>120</v>
      </c>
      <c r="H407">
        <v>0</v>
      </c>
      <c r="I407">
        <v>122</v>
      </c>
      <c r="J407">
        <v>124</v>
      </c>
      <c r="K407">
        <v>124</v>
      </c>
      <c r="L407">
        <v>0</v>
      </c>
      <c r="M407">
        <v>2018</v>
      </c>
      <c r="N407">
        <v>6</v>
      </c>
      <c r="O407">
        <v>4</v>
      </c>
      <c r="P407">
        <v>2</v>
      </c>
      <c r="Q407" s="2" t="s">
        <v>17</v>
      </c>
    </row>
    <row r="408" spans="1:17" x14ac:dyDescent="0.3">
      <c r="A408" s="1">
        <v>43276</v>
      </c>
      <c r="B408" s="3">
        <v>120</v>
      </c>
      <c r="C408" s="3">
        <v>120</v>
      </c>
      <c r="D408" s="3">
        <v>120</v>
      </c>
      <c r="E408" s="3">
        <v>120</v>
      </c>
      <c r="F408" s="4">
        <v>9300200</v>
      </c>
      <c r="G408" s="3">
        <v>120</v>
      </c>
      <c r="H408">
        <v>0</v>
      </c>
      <c r="I408">
        <v>122</v>
      </c>
      <c r="J408">
        <v>124</v>
      </c>
      <c r="K408">
        <v>124</v>
      </c>
      <c r="L408">
        <v>0</v>
      </c>
      <c r="M408">
        <v>2018</v>
      </c>
      <c r="N408">
        <v>6</v>
      </c>
      <c r="O408">
        <v>0</v>
      </c>
      <c r="P408">
        <v>2</v>
      </c>
      <c r="Q408" s="2" t="s">
        <v>17</v>
      </c>
    </row>
    <row r="409" spans="1:17" x14ac:dyDescent="0.3">
      <c r="A409" s="1">
        <v>43277</v>
      </c>
      <c r="B409" s="3">
        <v>119</v>
      </c>
      <c r="C409" s="3">
        <v>120</v>
      </c>
      <c r="D409" s="3">
        <v>119</v>
      </c>
      <c r="E409" s="3">
        <v>119</v>
      </c>
      <c r="F409" s="4">
        <v>8674500</v>
      </c>
      <c r="G409" s="3">
        <v>119</v>
      </c>
      <c r="H409">
        <v>-1</v>
      </c>
      <c r="I409">
        <v>122</v>
      </c>
      <c r="J409">
        <v>123</v>
      </c>
      <c r="K409">
        <v>124</v>
      </c>
      <c r="L409">
        <v>0</v>
      </c>
      <c r="M409">
        <v>2018</v>
      </c>
      <c r="N409">
        <v>6</v>
      </c>
      <c r="O409">
        <v>1</v>
      </c>
      <c r="P409">
        <v>2</v>
      </c>
      <c r="Q409" s="2" t="s">
        <v>17</v>
      </c>
    </row>
    <row r="410" spans="1:17" x14ac:dyDescent="0.3">
      <c r="A410" s="1">
        <v>43278</v>
      </c>
      <c r="B410" s="3">
        <v>119</v>
      </c>
      <c r="C410" s="3">
        <v>119</v>
      </c>
      <c r="D410" s="3">
        <v>118</v>
      </c>
      <c r="E410" s="3">
        <v>119</v>
      </c>
      <c r="F410" s="4">
        <v>6480100</v>
      </c>
      <c r="G410" s="3">
        <v>119</v>
      </c>
      <c r="H410">
        <v>-1</v>
      </c>
      <c r="I410">
        <v>122</v>
      </c>
      <c r="J410">
        <v>123</v>
      </c>
      <c r="K410">
        <v>124</v>
      </c>
      <c r="L410">
        <v>0</v>
      </c>
      <c r="M410">
        <v>2018</v>
      </c>
      <c r="N410">
        <v>6</v>
      </c>
      <c r="O410">
        <v>2</v>
      </c>
      <c r="P410">
        <v>2</v>
      </c>
      <c r="Q410" s="2" t="s">
        <v>17</v>
      </c>
    </row>
    <row r="411" spans="1:17" x14ac:dyDescent="0.3">
      <c r="A411" s="1">
        <v>43279</v>
      </c>
      <c r="B411" s="3">
        <v>118</v>
      </c>
      <c r="C411" s="3">
        <v>119</v>
      </c>
      <c r="D411" s="3">
        <v>118</v>
      </c>
      <c r="E411" s="3">
        <v>119</v>
      </c>
      <c r="F411" s="4">
        <v>7760500</v>
      </c>
      <c r="G411" s="3">
        <v>118</v>
      </c>
      <c r="H411">
        <v>0</v>
      </c>
      <c r="I411">
        <v>121</v>
      </c>
      <c r="J411">
        <v>123</v>
      </c>
      <c r="K411">
        <v>124</v>
      </c>
      <c r="L411">
        <v>0</v>
      </c>
      <c r="M411">
        <v>2018</v>
      </c>
      <c r="N411">
        <v>6</v>
      </c>
      <c r="O411">
        <v>3</v>
      </c>
      <c r="P411">
        <v>2</v>
      </c>
      <c r="Q411" s="2" t="s">
        <v>17</v>
      </c>
    </row>
    <row r="412" spans="1:17" x14ac:dyDescent="0.3">
      <c r="A412" s="1">
        <v>43280</v>
      </c>
      <c r="B412" s="3">
        <v>119</v>
      </c>
      <c r="C412" s="3">
        <v>119</v>
      </c>
      <c r="D412" s="3">
        <v>118</v>
      </c>
      <c r="E412" s="3">
        <v>118</v>
      </c>
      <c r="F412" s="4">
        <v>8002800</v>
      </c>
      <c r="G412" s="3">
        <v>119</v>
      </c>
      <c r="H412">
        <v>0</v>
      </c>
      <c r="I412">
        <v>121</v>
      </c>
      <c r="J412">
        <v>123</v>
      </c>
      <c r="K412">
        <v>124</v>
      </c>
      <c r="L412">
        <v>0</v>
      </c>
      <c r="M412">
        <v>2018</v>
      </c>
      <c r="N412">
        <v>6</v>
      </c>
      <c r="O412">
        <v>4</v>
      </c>
      <c r="P412">
        <v>2</v>
      </c>
      <c r="Q412" s="2" t="s">
        <v>17</v>
      </c>
    </row>
    <row r="413" spans="1:17" x14ac:dyDescent="0.3">
      <c r="A413" s="1">
        <v>43283</v>
      </c>
      <c r="B413" s="3">
        <v>117</v>
      </c>
      <c r="C413" s="3">
        <v>118</v>
      </c>
      <c r="D413" s="3">
        <v>117</v>
      </c>
      <c r="E413" s="3">
        <v>118</v>
      </c>
      <c r="F413" s="4">
        <v>12021900</v>
      </c>
      <c r="G413" s="3">
        <v>117</v>
      </c>
      <c r="H413">
        <v>-1</v>
      </c>
      <c r="I413">
        <v>121</v>
      </c>
      <c r="J413">
        <v>123</v>
      </c>
      <c r="K413">
        <v>124</v>
      </c>
      <c r="L413">
        <v>0</v>
      </c>
      <c r="M413">
        <v>2018</v>
      </c>
      <c r="N413">
        <v>7</v>
      </c>
      <c r="O413">
        <v>0</v>
      </c>
      <c r="P413">
        <v>3</v>
      </c>
      <c r="Q413" s="2" t="s">
        <v>17</v>
      </c>
    </row>
    <row r="414" spans="1:17" x14ac:dyDescent="0.3">
      <c r="A414" s="1">
        <v>43284</v>
      </c>
      <c r="B414" s="3">
        <v>119</v>
      </c>
      <c r="C414" s="3">
        <v>119</v>
      </c>
      <c r="D414" s="3">
        <v>118</v>
      </c>
      <c r="E414" s="3">
        <v>118</v>
      </c>
      <c r="F414" s="4">
        <v>8901000</v>
      </c>
      <c r="G414" s="3">
        <v>119</v>
      </c>
      <c r="H414">
        <v>1</v>
      </c>
      <c r="I414">
        <v>121</v>
      </c>
      <c r="J414">
        <v>123</v>
      </c>
      <c r="K414">
        <v>124</v>
      </c>
      <c r="L414">
        <v>1</v>
      </c>
      <c r="M414">
        <v>2018</v>
      </c>
      <c r="N414">
        <v>7</v>
      </c>
      <c r="O414">
        <v>1</v>
      </c>
      <c r="P414">
        <v>3</v>
      </c>
      <c r="Q414" s="2" t="s">
        <v>17</v>
      </c>
    </row>
    <row r="415" spans="1:17" x14ac:dyDescent="0.3">
      <c r="A415" s="1">
        <v>43286</v>
      </c>
      <c r="B415" s="3">
        <v>119</v>
      </c>
      <c r="C415" s="3">
        <v>119</v>
      </c>
      <c r="D415" s="3">
        <v>119</v>
      </c>
      <c r="E415" s="3">
        <v>119</v>
      </c>
      <c r="F415" s="4">
        <v>4951900</v>
      </c>
      <c r="G415" s="3">
        <v>119</v>
      </c>
      <c r="H415">
        <v>0</v>
      </c>
      <c r="I415">
        <v>121</v>
      </c>
      <c r="J415">
        <v>122</v>
      </c>
      <c r="K415">
        <v>124</v>
      </c>
      <c r="L415">
        <v>1</v>
      </c>
      <c r="M415">
        <v>2018</v>
      </c>
      <c r="N415">
        <v>7</v>
      </c>
      <c r="O415">
        <v>3</v>
      </c>
      <c r="P415">
        <v>3</v>
      </c>
      <c r="Q415" s="2" t="s">
        <v>17</v>
      </c>
    </row>
    <row r="416" spans="1:17" x14ac:dyDescent="0.3">
      <c r="A416" s="1">
        <v>43287</v>
      </c>
      <c r="B416" s="3">
        <v>119</v>
      </c>
      <c r="C416" s="3">
        <v>119</v>
      </c>
      <c r="D416" s="3">
        <v>119</v>
      </c>
      <c r="E416" s="3">
        <v>119</v>
      </c>
      <c r="F416" s="4">
        <v>2946900</v>
      </c>
      <c r="G416" s="3">
        <v>119</v>
      </c>
      <c r="H416">
        <v>0</v>
      </c>
      <c r="I416">
        <v>120</v>
      </c>
      <c r="J416">
        <v>122</v>
      </c>
      <c r="K416">
        <v>124</v>
      </c>
      <c r="L416">
        <v>1</v>
      </c>
      <c r="M416">
        <v>2018</v>
      </c>
      <c r="N416">
        <v>7</v>
      </c>
      <c r="O416">
        <v>4</v>
      </c>
      <c r="P416">
        <v>3</v>
      </c>
      <c r="Q416" s="2" t="s">
        <v>17</v>
      </c>
    </row>
    <row r="417" spans="1:17" x14ac:dyDescent="0.3">
      <c r="A417" s="1">
        <v>43290</v>
      </c>
      <c r="B417" s="3">
        <v>119</v>
      </c>
      <c r="C417" s="3">
        <v>120</v>
      </c>
      <c r="D417" s="3">
        <v>119</v>
      </c>
      <c r="E417" s="3">
        <v>120</v>
      </c>
      <c r="F417" s="4">
        <v>4074900</v>
      </c>
      <c r="G417" s="3">
        <v>119</v>
      </c>
      <c r="H417">
        <v>0</v>
      </c>
      <c r="I417">
        <v>120</v>
      </c>
      <c r="J417">
        <v>122</v>
      </c>
      <c r="K417">
        <v>124</v>
      </c>
      <c r="L417">
        <v>1</v>
      </c>
      <c r="M417">
        <v>2018</v>
      </c>
      <c r="N417">
        <v>7</v>
      </c>
      <c r="O417">
        <v>0</v>
      </c>
      <c r="P417">
        <v>3</v>
      </c>
      <c r="Q417" s="2" t="s">
        <v>17</v>
      </c>
    </row>
    <row r="418" spans="1:17" x14ac:dyDescent="0.3">
      <c r="A418" s="1">
        <v>43291</v>
      </c>
      <c r="B418" s="3">
        <v>119</v>
      </c>
      <c r="C418" s="3">
        <v>119</v>
      </c>
      <c r="D418" s="3">
        <v>119</v>
      </c>
      <c r="E418" s="3">
        <v>119</v>
      </c>
      <c r="F418" s="4">
        <v>3754800</v>
      </c>
      <c r="G418" s="3">
        <v>119</v>
      </c>
      <c r="H418">
        <v>0</v>
      </c>
      <c r="I418">
        <v>120</v>
      </c>
      <c r="J418">
        <v>122</v>
      </c>
      <c r="K418">
        <v>124</v>
      </c>
      <c r="L418">
        <v>1</v>
      </c>
      <c r="M418">
        <v>2018</v>
      </c>
      <c r="N418">
        <v>7</v>
      </c>
      <c r="O418">
        <v>1</v>
      </c>
      <c r="P418">
        <v>3</v>
      </c>
      <c r="Q418" s="2" t="s">
        <v>17</v>
      </c>
    </row>
    <row r="419" spans="1:17" x14ac:dyDescent="0.3">
      <c r="A419" s="1">
        <v>43292</v>
      </c>
      <c r="B419" s="3">
        <v>118</v>
      </c>
      <c r="C419" s="3">
        <v>119</v>
      </c>
      <c r="D419" s="3">
        <v>118</v>
      </c>
      <c r="E419" s="3">
        <v>118</v>
      </c>
      <c r="F419" s="4">
        <v>6974500</v>
      </c>
      <c r="G419" s="3">
        <v>118</v>
      </c>
      <c r="H419">
        <v>-1</v>
      </c>
      <c r="I419">
        <v>120</v>
      </c>
      <c r="J419">
        <v>122</v>
      </c>
      <c r="K419">
        <v>123</v>
      </c>
      <c r="L419">
        <v>1</v>
      </c>
      <c r="M419">
        <v>2018</v>
      </c>
      <c r="N419">
        <v>7</v>
      </c>
      <c r="O419">
        <v>2</v>
      </c>
      <c r="P419">
        <v>3</v>
      </c>
      <c r="Q419" s="2" t="s">
        <v>17</v>
      </c>
    </row>
    <row r="420" spans="1:17" x14ac:dyDescent="0.3">
      <c r="A420" s="1">
        <v>43293</v>
      </c>
      <c r="B420" s="3">
        <v>118</v>
      </c>
      <c r="C420" s="3">
        <v>118</v>
      </c>
      <c r="D420" s="3">
        <v>118</v>
      </c>
      <c r="E420" s="3">
        <v>118</v>
      </c>
      <c r="F420" s="4">
        <v>4585300</v>
      </c>
      <c r="G420" s="3">
        <v>118</v>
      </c>
      <c r="H420">
        <v>0</v>
      </c>
      <c r="I420">
        <v>119</v>
      </c>
      <c r="J420">
        <v>122</v>
      </c>
      <c r="K420">
        <v>123</v>
      </c>
      <c r="L420">
        <v>1</v>
      </c>
      <c r="M420">
        <v>2018</v>
      </c>
      <c r="N420">
        <v>7</v>
      </c>
      <c r="O420">
        <v>3</v>
      </c>
      <c r="P420">
        <v>3</v>
      </c>
      <c r="Q420" s="2" t="s">
        <v>17</v>
      </c>
    </row>
    <row r="421" spans="1:17" x14ac:dyDescent="0.3">
      <c r="A421" s="1">
        <v>43294</v>
      </c>
      <c r="B421" s="3">
        <v>118</v>
      </c>
      <c r="C421" s="3">
        <v>118</v>
      </c>
      <c r="D421" s="3">
        <v>117</v>
      </c>
      <c r="E421" s="3">
        <v>118</v>
      </c>
      <c r="F421" s="4">
        <v>5444300</v>
      </c>
      <c r="G421" s="3">
        <v>118</v>
      </c>
      <c r="H421">
        <v>0</v>
      </c>
      <c r="I421">
        <v>119</v>
      </c>
      <c r="J421">
        <v>122</v>
      </c>
      <c r="K421">
        <v>123</v>
      </c>
      <c r="L421">
        <v>1</v>
      </c>
      <c r="M421">
        <v>2018</v>
      </c>
      <c r="N421">
        <v>7</v>
      </c>
      <c r="O421">
        <v>4</v>
      </c>
      <c r="P421">
        <v>3</v>
      </c>
      <c r="Q421" s="2" t="s">
        <v>17</v>
      </c>
    </row>
    <row r="422" spans="1:17" x14ac:dyDescent="0.3">
      <c r="A422" s="1">
        <v>43297</v>
      </c>
      <c r="B422" s="3">
        <v>118</v>
      </c>
      <c r="C422" s="3">
        <v>118</v>
      </c>
      <c r="D422" s="3">
        <v>117</v>
      </c>
      <c r="E422" s="3">
        <v>118</v>
      </c>
      <c r="F422" s="4">
        <v>3670700</v>
      </c>
      <c r="G422" s="3">
        <v>118</v>
      </c>
      <c r="H422">
        <v>0</v>
      </c>
      <c r="I422">
        <v>119</v>
      </c>
      <c r="J422">
        <v>122</v>
      </c>
      <c r="K422">
        <v>123</v>
      </c>
      <c r="L422">
        <v>0</v>
      </c>
      <c r="M422">
        <v>2018</v>
      </c>
      <c r="N422">
        <v>7</v>
      </c>
      <c r="O422">
        <v>0</v>
      </c>
      <c r="P422">
        <v>3</v>
      </c>
      <c r="Q422" s="2" t="s">
        <v>17</v>
      </c>
    </row>
    <row r="423" spans="1:17" x14ac:dyDescent="0.3">
      <c r="A423" s="1">
        <v>43298</v>
      </c>
      <c r="B423" s="3">
        <v>116</v>
      </c>
      <c r="C423" s="3">
        <v>117</v>
      </c>
      <c r="D423" s="3">
        <v>116</v>
      </c>
      <c r="E423" s="3">
        <v>117</v>
      </c>
      <c r="F423" s="4">
        <v>7939600</v>
      </c>
      <c r="G423" s="3">
        <v>116</v>
      </c>
      <c r="H423">
        <v>-1</v>
      </c>
      <c r="I423">
        <v>119</v>
      </c>
      <c r="J423">
        <v>121</v>
      </c>
      <c r="K423">
        <v>123</v>
      </c>
      <c r="L423">
        <v>1</v>
      </c>
      <c r="M423">
        <v>2018</v>
      </c>
      <c r="N423">
        <v>7</v>
      </c>
      <c r="O423">
        <v>1</v>
      </c>
      <c r="P423">
        <v>3</v>
      </c>
      <c r="Q423" s="2" t="s">
        <v>17</v>
      </c>
    </row>
    <row r="424" spans="1:17" x14ac:dyDescent="0.3">
      <c r="A424" s="1">
        <v>43299</v>
      </c>
      <c r="B424" s="3">
        <v>116</v>
      </c>
      <c r="C424" s="3">
        <v>116</v>
      </c>
      <c r="D424" s="3">
        <v>116</v>
      </c>
      <c r="E424" s="3">
        <v>116</v>
      </c>
      <c r="F424" s="4">
        <v>5391800</v>
      </c>
      <c r="G424" s="3">
        <v>116</v>
      </c>
      <c r="H424">
        <v>0</v>
      </c>
      <c r="I424">
        <v>119</v>
      </c>
      <c r="J424">
        <v>121</v>
      </c>
      <c r="K424">
        <v>123</v>
      </c>
      <c r="L424">
        <v>1</v>
      </c>
      <c r="M424">
        <v>2018</v>
      </c>
      <c r="N424">
        <v>7</v>
      </c>
      <c r="O424">
        <v>2</v>
      </c>
      <c r="P424">
        <v>3</v>
      </c>
      <c r="Q424" s="2" t="s">
        <v>17</v>
      </c>
    </row>
    <row r="425" spans="1:17" x14ac:dyDescent="0.3">
      <c r="A425" s="1">
        <v>43300</v>
      </c>
      <c r="B425" s="3">
        <v>116</v>
      </c>
      <c r="C425" s="3">
        <v>116</v>
      </c>
      <c r="D425" s="3">
        <v>115</v>
      </c>
      <c r="E425" s="3">
        <v>115</v>
      </c>
      <c r="F425" s="4">
        <v>14227600</v>
      </c>
      <c r="G425" s="3">
        <v>116</v>
      </c>
      <c r="H425">
        <v>0</v>
      </c>
      <c r="I425">
        <v>118</v>
      </c>
      <c r="J425">
        <v>121</v>
      </c>
      <c r="K425">
        <v>123</v>
      </c>
      <c r="L425">
        <v>1</v>
      </c>
      <c r="M425">
        <v>2018</v>
      </c>
      <c r="N425">
        <v>7</v>
      </c>
      <c r="O425">
        <v>3</v>
      </c>
      <c r="P425">
        <v>3</v>
      </c>
      <c r="Q425" s="2" t="s">
        <v>17</v>
      </c>
    </row>
    <row r="426" spans="1:17" x14ac:dyDescent="0.3">
      <c r="A426" s="1">
        <v>43301</v>
      </c>
      <c r="B426" s="3">
        <v>117</v>
      </c>
      <c r="C426" s="3">
        <v>117</v>
      </c>
      <c r="D426" s="3">
        <v>116</v>
      </c>
      <c r="E426" s="3">
        <v>116</v>
      </c>
      <c r="F426" s="4">
        <v>7892000</v>
      </c>
      <c r="G426" s="3">
        <v>117</v>
      </c>
      <c r="H426">
        <v>1</v>
      </c>
      <c r="I426">
        <v>118</v>
      </c>
      <c r="J426">
        <v>121</v>
      </c>
      <c r="K426">
        <v>123</v>
      </c>
      <c r="L426">
        <v>1</v>
      </c>
      <c r="M426">
        <v>2018</v>
      </c>
      <c r="N426">
        <v>7</v>
      </c>
      <c r="O426">
        <v>4</v>
      </c>
      <c r="P426">
        <v>3</v>
      </c>
      <c r="Q426" s="2" t="s">
        <v>17</v>
      </c>
    </row>
    <row r="427" spans="1:17" x14ac:dyDescent="0.3">
      <c r="A427" s="1">
        <v>43304</v>
      </c>
      <c r="B427" s="3">
        <v>116</v>
      </c>
      <c r="C427" s="3">
        <v>116</v>
      </c>
      <c r="D427" s="3">
        <v>116</v>
      </c>
      <c r="E427" s="3">
        <v>116</v>
      </c>
      <c r="F427" s="4">
        <v>6247100</v>
      </c>
      <c r="G427" s="3">
        <v>116</v>
      </c>
      <c r="H427">
        <v>0</v>
      </c>
      <c r="I427">
        <v>118</v>
      </c>
      <c r="J427">
        <v>121</v>
      </c>
      <c r="K427">
        <v>123</v>
      </c>
      <c r="L427">
        <v>1</v>
      </c>
      <c r="M427">
        <v>2018</v>
      </c>
      <c r="N427">
        <v>7</v>
      </c>
      <c r="O427">
        <v>0</v>
      </c>
      <c r="P427">
        <v>3</v>
      </c>
      <c r="Q427" s="2" t="s">
        <v>17</v>
      </c>
    </row>
    <row r="428" spans="1:17" x14ac:dyDescent="0.3">
      <c r="A428" s="1">
        <v>43305</v>
      </c>
      <c r="B428" s="3">
        <v>116</v>
      </c>
      <c r="C428" s="3">
        <v>116</v>
      </c>
      <c r="D428" s="3">
        <v>116</v>
      </c>
      <c r="E428" s="3">
        <v>116</v>
      </c>
      <c r="F428" s="4">
        <v>4801000</v>
      </c>
      <c r="G428" s="3">
        <v>116</v>
      </c>
      <c r="H428">
        <v>0</v>
      </c>
      <c r="I428">
        <v>118</v>
      </c>
      <c r="J428">
        <v>121</v>
      </c>
      <c r="K428">
        <v>123</v>
      </c>
      <c r="L428">
        <v>1</v>
      </c>
      <c r="M428">
        <v>2018</v>
      </c>
      <c r="N428">
        <v>7</v>
      </c>
      <c r="O428">
        <v>1</v>
      </c>
      <c r="P428">
        <v>3</v>
      </c>
      <c r="Q428" s="2" t="s">
        <v>17</v>
      </c>
    </row>
    <row r="429" spans="1:17" x14ac:dyDescent="0.3">
      <c r="A429" s="1">
        <v>43306</v>
      </c>
      <c r="B429" s="3">
        <v>117</v>
      </c>
      <c r="C429" s="3">
        <v>117</v>
      </c>
      <c r="D429" s="3">
        <v>116</v>
      </c>
      <c r="E429" s="3">
        <v>117</v>
      </c>
      <c r="F429" s="4">
        <v>5479600</v>
      </c>
      <c r="G429" s="3">
        <v>117</v>
      </c>
      <c r="H429">
        <v>1</v>
      </c>
      <c r="I429">
        <v>118</v>
      </c>
      <c r="J429">
        <v>120</v>
      </c>
      <c r="K429">
        <v>123</v>
      </c>
      <c r="L429">
        <v>1</v>
      </c>
      <c r="M429">
        <v>2018</v>
      </c>
      <c r="N429">
        <v>7</v>
      </c>
      <c r="O429">
        <v>2</v>
      </c>
      <c r="P429">
        <v>3</v>
      </c>
      <c r="Q429" s="2" t="s">
        <v>17</v>
      </c>
    </row>
    <row r="430" spans="1:17" x14ac:dyDescent="0.3">
      <c r="A430" s="1">
        <v>43307</v>
      </c>
      <c r="B430" s="3">
        <v>116</v>
      </c>
      <c r="C430" s="3">
        <v>117</v>
      </c>
      <c r="D430" s="3">
        <v>116</v>
      </c>
      <c r="E430" s="3">
        <v>116</v>
      </c>
      <c r="F430" s="4">
        <v>6382700</v>
      </c>
      <c r="G430" s="3">
        <v>116</v>
      </c>
      <c r="H430">
        <v>-1</v>
      </c>
      <c r="I430">
        <v>117</v>
      </c>
      <c r="J430">
        <v>120</v>
      </c>
      <c r="K430">
        <v>123</v>
      </c>
      <c r="L430">
        <v>1</v>
      </c>
      <c r="M430">
        <v>2018</v>
      </c>
      <c r="N430">
        <v>7</v>
      </c>
      <c r="O430">
        <v>3</v>
      </c>
      <c r="P430">
        <v>3</v>
      </c>
      <c r="Q430" s="2" t="s">
        <v>17</v>
      </c>
    </row>
    <row r="431" spans="1:17" x14ac:dyDescent="0.3">
      <c r="A431" s="1">
        <v>43308</v>
      </c>
      <c r="B431" s="3">
        <v>116</v>
      </c>
      <c r="C431" s="3">
        <v>116</v>
      </c>
      <c r="D431" s="3">
        <v>116</v>
      </c>
      <c r="E431" s="3">
        <v>116</v>
      </c>
      <c r="F431" s="4">
        <v>5242000</v>
      </c>
      <c r="G431" s="3">
        <v>116</v>
      </c>
      <c r="H431">
        <v>0</v>
      </c>
      <c r="I431">
        <v>117</v>
      </c>
      <c r="J431">
        <v>120</v>
      </c>
      <c r="K431">
        <v>123</v>
      </c>
      <c r="L431">
        <v>1</v>
      </c>
      <c r="M431">
        <v>2018</v>
      </c>
      <c r="N431">
        <v>7</v>
      </c>
      <c r="O431">
        <v>4</v>
      </c>
      <c r="P431">
        <v>3</v>
      </c>
      <c r="Q431" s="2" t="s">
        <v>17</v>
      </c>
    </row>
    <row r="432" spans="1:17" x14ac:dyDescent="0.3">
      <c r="A432" s="1">
        <v>43311</v>
      </c>
      <c r="B432" s="3">
        <v>116</v>
      </c>
      <c r="C432" s="3">
        <v>116</v>
      </c>
      <c r="D432" s="3">
        <v>116</v>
      </c>
      <c r="E432" s="3">
        <v>116</v>
      </c>
      <c r="F432" s="4">
        <v>4157400</v>
      </c>
      <c r="G432" s="3">
        <v>116</v>
      </c>
      <c r="H432">
        <v>0</v>
      </c>
      <c r="I432">
        <v>117</v>
      </c>
      <c r="J432">
        <v>120</v>
      </c>
      <c r="K432">
        <v>123</v>
      </c>
      <c r="L432">
        <v>1</v>
      </c>
      <c r="M432">
        <v>2018</v>
      </c>
      <c r="N432">
        <v>7</v>
      </c>
      <c r="O432">
        <v>0</v>
      </c>
      <c r="P432">
        <v>3</v>
      </c>
      <c r="Q432" s="2" t="s">
        <v>17</v>
      </c>
    </row>
    <row r="433" spans="1:17" x14ac:dyDescent="0.3">
      <c r="A433" s="1">
        <v>43312</v>
      </c>
      <c r="B433" s="3">
        <v>116</v>
      </c>
      <c r="C433" s="3">
        <v>116</v>
      </c>
      <c r="D433" s="3">
        <v>115</v>
      </c>
      <c r="E433" s="3">
        <v>115</v>
      </c>
      <c r="F433" s="4">
        <v>5508500</v>
      </c>
      <c r="G433" s="3">
        <v>116</v>
      </c>
      <c r="H433">
        <v>0</v>
      </c>
      <c r="I433">
        <v>117</v>
      </c>
      <c r="J433">
        <v>120</v>
      </c>
      <c r="K433">
        <v>123</v>
      </c>
      <c r="L433">
        <v>1</v>
      </c>
      <c r="M433">
        <v>2018</v>
      </c>
      <c r="N433">
        <v>7</v>
      </c>
      <c r="O433">
        <v>1</v>
      </c>
      <c r="P433">
        <v>3</v>
      </c>
      <c r="Q433" s="2" t="s">
        <v>17</v>
      </c>
    </row>
    <row r="434" spans="1:17" x14ac:dyDescent="0.3">
      <c r="A434" s="1">
        <v>43313</v>
      </c>
      <c r="B434" s="3">
        <v>115</v>
      </c>
      <c r="C434" s="3">
        <v>116</v>
      </c>
      <c r="D434" s="3">
        <v>115</v>
      </c>
      <c r="E434" s="3">
        <v>116</v>
      </c>
      <c r="F434" s="4">
        <v>7941700</v>
      </c>
      <c r="G434" s="3">
        <v>115</v>
      </c>
      <c r="H434">
        <v>-1</v>
      </c>
      <c r="I434">
        <v>117</v>
      </c>
      <c r="J434">
        <v>120</v>
      </c>
      <c r="K434">
        <v>123</v>
      </c>
      <c r="L434">
        <v>1</v>
      </c>
      <c r="M434">
        <v>2018</v>
      </c>
      <c r="N434">
        <v>8</v>
      </c>
      <c r="O434">
        <v>2</v>
      </c>
      <c r="P434">
        <v>3</v>
      </c>
      <c r="Q434" s="2" t="s">
        <v>17</v>
      </c>
    </row>
    <row r="435" spans="1:17" x14ac:dyDescent="0.3">
      <c r="A435" s="1">
        <v>43314</v>
      </c>
      <c r="B435" s="3">
        <v>115</v>
      </c>
      <c r="C435" s="3">
        <v>115</v>
      </c>
      <c r="D435" s="3">
        <v>114</v>
      </c>
      <c r="E435" s="3">
        <v>115</v>
      </c>
      <c r="F435" s="4">
        <v>6204200</v>
      </c>
      <c r="G435" s="3">
        <v>115</v>
      </c>
      <c r="H435">
        <v>-1</v>
      </c>
      <c r="I435">
        <v>117</v>
      </c>
      <c r="J435">
        <v>120</v>
      </c>
      <c r="K435">
        <v>123</v>
      </c>
      <c r="L435">
        <v>1</v>
      </c>
      <c r="M435">
        <v>2018</v>
      </c>
      <c r="N435">
        <v>8</v>
      </c>
      <c r="O435">
        <v>3</v>
      </c>
      <c r="P435">
        <v>3</v>
      </c>
      <c r="Q435" s="2" t="s">
        <v>17</v>
      </c>
    </row>
    <row r="436" spans="1:17" x14ac:dyDescent="0.3">
      <c r="A436" s="1">
        <v>43315</v>
      </c>
      <c r="B436" s="3">
        <v>115</v>
      </c>
      <c r="C436" s="3">
        <v>116</v>
      </c>
      <c r="D436" s="3">
        <v>115</v>
      </c>
      <c r="E436" s="3">
        <v>115</v>
      </c>
      <c r="F436" s="4">
        <v>5953200</v>
      </c>
      <c r="G436" s="3">
        <v>115</v>
      </c>
      <c r="H436">
        <v>0</v>
      </c>
      <c r="I436">
        <v>117</v>
      </c>
      <c r="J436">
        <v>119</v>
      </c>
      <c r="K436">
        <v>123</v>
      </c>
      <c r="L436">
        <v>1</v>
      </c>
      <c r="M436">
        <v>2018</v>
      </c>
      <c r="N436">
        <v>8</v>
      </c>
      <c r="O436">
        <v>4</v>
      </c>
      <c r="P436">
        <v>3</v>
      </c>
      <c r="Q436" s="2" t="s">
        <v>17</v>
      </c>
    </row>
    <row r="437" spans="1:17" x14ac:dyDescent="0.3">
      <c r="A437" s="1">
        <v>43318</v>
      </c>
      <c r="B437" s="3">
        <v>114</v>
      </c>
      <c r="C437" s="3">
        <v>115</v>
      </c>
      <c r="D437" s="3">
        <v>114</v>
      </c>
      <c r="E437" s="3">
        <v>115</v>
      </c>
      <c r="F437" s="4">
        <v>5811600</v>
      </c>
      <c r="G437" s="3">
        <v>114</v>
      </c>
      <c r="H437">
        <v>-1</v>
      </c>
      <c r="I437">
        <v>116</v>
      </c>
      <c r="J437">
        <v>119</v>
      </c>
      <c r="K437">
        <v>123</v>
      </c>
      <c r="L437">
        <v>1</v>
      </c>
      <c r="M437">
        <v>2018</v>
      </c>
      <c r="N437">
        <v>8</v>
      </c>
      <c r="O437">
        <v>0</v>
      </c>
      <c r="P437">
        <v>3</v>
      </c>
      <c r="Q437" s="2" t="s">
        <v>17</v>
      </c>
    </row>
    <row r="438" spans="1:17" x14ac:dyDescent="0.3">
      <c r="A438" s="1">
        <v>43319</v>
      </c>
      <c r="B438" s="3">
        <v>115</v>
      </c>
      <c r="C438" s="3">
        <v>115</v>
      </c>
      <c r="D438" s="3">
        <v>114</v>
      </c>
      <c r="E438" s="3">
        <v>115</v>
      </c>
      <c r="F438" s="4">
        <v>5188000</v>
      </c>
      <c r="G438" s="3">
        <v>115</v>
      </c>
      <c r="H438">
        <v>0</v>
      </c>
      <c r="I438">
        <v>116</v>
      </c>
      <c r="J438">
        <v>119</v>
      </c>
      <c r="K438">
        <v>123</v>
      </c>
      <c r="L438">
        <v>1</v>
      </c>
      <c r="M438">
        <v>2018</v>
      </c>
      <c r="N438">
        <v>8</v>
      </c>
      <c r="O438">
        <v>1</v>
      </c>
      <c r="P438">
        <v>3</v>
      </c>
      <c r="Q438" s="2" t="s">
        <v>17</v>
      </c>
    </row>
    <row r="439" spans="1:17" x14ac:dyDescent="0.3">
      <c r="A439" s="1">
        <v>43320</v>
      </c>
      <c r="B439" s="3">
        <v>115</v>
      </c>
      <c r="C439" s="3">
        <v>115</v>
      </c>
      <c r="D439" s="3">
        <v>114</v>
      </c>
      <c r="E439" s="3">
        <v>115</v>
      </c>
      <c r="F439" s="4">
        <v>3808000</v>
      </c>
      <c r="G439" s="3">
        <v>115</v>
      </c>
      <c r="H439">
        <v>0</v>
      </c>
      <c r="I439">
        <v>116</v>
      </c>
      <c r="J439">
        <v>119</v>
      </c>
      <c r="K439">
        <v>123</v>
      </c>
      <c r="L439">
        <v>0</v>
      </c>
      <c r="M439">
        <v>2018</v>
      </c>
      <c r="N439">
        <v>8</v>
      </c>
      <c r="O439">
        <v>2</v>
      </c>
      <c r="P439">
        <v>3</v>
      </c>
      <c r="Q439" s="2" t="s">
        <v>17</v>
      </c>
    </row>
    <row r="440" spans="1:17" x14ac:dyDescent="0.3">
      <c r="A440" s="1">
        <v>43321</v>
      </c>
      <c r="B440" s="3">
        <v>115</v>
      </c>
      <c r="C440" s="3">
        <v>115</v>
      </c>
      <c r="D440" s="3">
        <v>115</v>
      </c>
      <c r="E440" s="3">
        <v>115</v>
      </c>
      <c r="F440" s="4">
        <v>4253000</v>
      </c>
      <c r="G440" s="3">
        <v>115</v>
      </c>
      <c r="H440">
        <v>0</v>
      </c>
      <c r="I440">
        <v>116</v>
      </c>
      <c r="J440">
        <v>119</v>
      </c>
      <c r="K440">
        <v>123</v>
      </c>
      <c r="L440">
        <v>0</v>
      </c>
      <c r="M440">
        <v>2018</v>
      </c>
      <c r="N440">
        <v>8</v>
      </c>
      <c r="O440">
        <v>3</v>
      </c>
      <c r="P440">
        <v>3</v>
      </c>
      <c r="Q440" s="2" t="s">
        <v>17</v>
      </c>
    </row>
    <row r="441" spans="1:17" x14ac:dyDescent="0.3">
      <c r="A441" s="1">
        <v>43322</v>
      </c>
      <c r="B441" s="3">
        <v>115</v>
      </c>
      <c r="C441" s="3">
        <v>115</v>
      </c>
      <c r="D441" s="3">
        <v>115</v>
      </c>
      <c r="E441" s="3">
        <v>115</v>
      </c>
      <c r="F441" s="4">
        <v>6757900</v>
      </c>
      <c r="G441" s="3">
        <v>115</v>
      </c>
      <c r="H441">
        <v>0</v>
      </c>
      <c r="I441">
        <v>116</v>
      </c>
      <c r="J441">
        <v>119</v>
      </c>
      <c r="K441">
        <v>123</v>
      </c>
      <c r="L441">
        <v>0</v>
      </c>
      <c r="M441">
        <v>2018</v>
      </c>
      <c r="N441">
        <v>8</v>
      </c>
      <c r="O441">
        <v>4</v>
      </c>
      <c r="P441">
        <v>3</v>
      </c>
      <c r="Q441" s="2" t="s">
        <v>17</v>
      </c>
    </row>
    <row r="442" spans="1:17" x14ac:dyDescent="0.3">
      <c r="A442" s="1">
        <v>43325</v>
      </c>
      <c r="B442" s="3">
        <v>113</v>
      </c>
      <c r="C442" s="3">
        <v>114</v>
      </c>
      <c r="D442" s="3">
        <v>113</v>
      </c>
      <c r="E442" s="3">
        <v>114</v>
      </c>
      <c r="F442" s="4">
        <v>9150900</v>
      </c>
      <c r="G442" s="3">
        <v>113</v>
      </c>
      <c r="H442">
        <v>-2</v>
      </c>
      <c r="I442">
        <v>115</v>
      </c>
      <c r="J442">
        <v>118</v>
      </c>
      <c r="K442">
        <v>123</v>
      </c>
      <c r="L442">
        <v>1</v>
      </c>
      <c r="M442">
        <v>2018</v>
      </c>
      <c r="N442">
        <v>8</v>
      </c>
      <c r="O442">
        <v>0</v>
      </c>
      <c r="P442">
        <v>3</v>
      </c>
      <c r="Q442" s="2" t="s">
        <v>17</v>
      </c>
    </row>
    <row r="443" spans="1:17" x14ac:dyDescent="0.3">
      <c r="A443" s="1">
        <v>43326</v>
      </c>
      <c r="B443" s="3">
        <v>113</v>
      </c>
      <c r="C443" s="3">
        <v>113</v>
      </c>
      <c r="D443" s="3">
        <v>113</v>
      </c>
      <c r="E443" s="3">
        <v>113</v>
      </c>
      <c r="F443" s="4">
        <v>7085900</v>
      </c>
      <c r="G443" s="3">
        <v>113</v>
      </c>
      <c r="H443">
        <v>0</v>
      </c>
      <c r="I443">
        <v>115</v>
      </c>
      <c r="J443">
        <v>118</v>
      </c>
      <c r="K443">
        <v>123</v>
      </c>
      <c r="L443">
        <v>1</v>
      </c>
      <c r="M443">
        <v>2018</v>
      </c>
      <c r="N443">
        <v>8</v>
      </c>
      <c r="O443">
        <v>1</v>
      </c>
      <c r="P443">
        <v>3</v>
      </c>
      <c r="Q443" s="2" t="s">
        <v>17</v>
      </c>
    </row>
    <row r="444" spans="1:17" x14ac:dyDescent="0.3">
      <c r="A444" s="1">
        <v>43327</v>
      </c>
      <c r="B444" s="3">
        <v>111</v>
      </c>
      <c r="C444" s="3">
        <v>112</v>
      </c>
      <c r="D444" s="3">
        <v>111</v>
      </c>
      <c r="E444" s="3">
        <v>112</v>
      </c>
      <c r="F444" s="4">
        <v>12398400</v>
      </c>
      <c r="G444" s="3">
        <v>111</v>
      </c>
      <c r="H444">
        <v>-2</v>
      </c>
      <c r="I444">
        <v>115</v>
      </c>
      <c r="J444">
        <v>118</v>
      </c>
      <c r="K444">
        <v>123</v>
      </c>
      <c r="L444">
        <v>1</v>
      </c>
      <c r="M444">
        <v>2018</v>
      </c>
      <c r="N444">
        <v>8</v>
      </c>
      <c r="O444">
        <v>2</v>
      </c>
      <c r="P444">
        <v>3</v>
      </c>
      <c r="Q444" s="2" t="s">
        <v>17</v>
      </c>
    </row>
    <row r="445" spans="1:17" x14ac:dyDescent="0.3">
      <c r="A445" s="1">
        <v>43328</v>
      </c>
      <c r="B445" s="3">
        <v>111</v>
      </c>
      <c r="C445" s="3">
        <v>112</v>
      </c>
      <c r="D445" s="3">
        <v>111</v>
      </c>
      <c r="E445" s="3">
        <v>111</v>
      </c>
      <c r="F445" s="4">
        <v>7484600</v>
      </c>
      <c r="G445" s="3">
        <v>111</v>
      </c>
      <c r="H445">
        <v>0</v>
      </c>
      <c r="I445">
        <v>115</v>
      </c>
      <c r="J445">
        <v>118</v>
      </c>
      <c r="K445">
        <v>123</v>
      </c>
      <c r="L445">
        <v>1</v>
      </c>
      <c r="M445">
        <v>2018</v>
      </c>
      <c r="N445">
        <v>8</v>
      </c>
      <c r="O445">
        <v>3</v>
      </c>
      <c r="P445">
        <v>3</v>
      </c>
      <c r="Q445" s="2" t="s">
        <v>17</v>
      </c>
    </row>
    <row r="446" spans="1:17" x14ac:dyDescent="0.3">
      <c r="A446" s="1">
        <v>43329</v>
      </c>
      <c r="B446" s="3">
        <v>112</v>
      </c>
      <c r="C446" s="3">
        <v>112</v>
      </c>
      <c r="D446" s="3">
        <v>111</v>
      </c>
      <c r="E446" s="3">
        <v>112</v>
      </c>
      <c r="F446" s="4">
        <v>8471000</v>
      </c>
      <c r="G446" s="3">
        <v>112</v>
      </c>
      <c r="H446">
        <v>1</v>
      </c>
      <c r="I446">
        <v>115</v>
      </c>
      <c r="J446">
        <v>117</v>
      </c>
      <c r="K446">
        <v>123</v>
      </c>
      <c r="L446">
        <v>1</v>
      </c>
      <c r="M446">
        <v>2018</v>
      </c>
      <c r="N446">
        <v>8</v>
      </c>
      <c r="O446">
        <v>4</v>
      </c>
      <c r="P446">
        <v>3</v>
      </c>
      <c r="Q446" s="2" t="s">
        <v>17</v>
      </c>
    </row>
    <row r="447" spans="1:17" x14ac:dyDescent="0.3">
      <c r="A447" s="1">
        <v>43332</v>
      </c>
      <c r="B447" s="3">
        <v>113</v>
      </c>
      <c r="C447" s="3">
        <v>113</v>
      </c>
      <c r="D447" s="3">
        <v>112</v>
      </c>
      <c r="E447" s="3">
        <v>112</v>
      </c>
      <c r="F447" s="4">
        <v>5313400</v>
      </c>
      <c r="G447" s="3">
        <v>113</v>
      </c>
      <c r="H447">
        <v>0</v>
      </c>
      <c r="I447">
        <v>114</v>
      </c>
      <c r="J447">
        <v>117</v>
      </c>
      <c r="K447">
        <v>123</v>
      </c>
      <c r="L447">
        <v>1</v>
      </c>
      <c r="M447">
        <v>2018</v>
      </c>
      <c r="N447">
        <v>8</v>
      </c>
      <c r="O447">
        <v>0</v>
      </c>
      <c r="P447">
        <v>3</v>
      </c>
      <c r="Q447" s="2" t="s">
        <v>17</v>
      </c>
    </row>
    <row r="448" spans="1:17" x14ac:dyDescent="0.3">
      <c r="A448" s="1">
        <v>43333</v>
      </c>
      <c r="B448" s="3">
        <v>113</v>
      </c>
      <c r="C448" s="3">
        <v>113</v>
      </c>
      <c r="D448" s="3">
        <v>112</v>
      </c>
      <c r="E448" s="3">
        <v>113</v>
      </c>
      <c r="F448" s="4">
        <v>5042400</v>
      </c>
      <c r="G448" s="3">
        <v>113</v>
      </c>
      <c r="H448">
        <v>0</v>
      </c>
      <c r="I448">
        <v>114</v>
      </c>
      <c r="J448">
        <v>117</v>
      </c>
      <c r="K448">
        <v>122</v>
      </c>
      <c r="L448">
        <v>1</v>
      </c>
      <c r="M448">
        <v>2018</v>
      </c>
      <c r="N448">
        <v>8</v>
      </c>
      <c r="O448">
        <v>1</v>
      </c>
      <c r="P448">
        <v>3</v>
      </c>
      <c r="Q448" s="2" t="s">
        <v>17</v>
      </c>
    </row>
    <row r="449" spans="1:17" x14ac:dyDescent="0.3">
      <c r="A449" s="1">
        <v>43334</v>
      </c>
      <c r="B449" s="3">
        <v>113</v>
      </c>
      <c r="C449" s="3">
        <v>113</v>
      </c>
      <c r="D449" s="3">
        <v>113</v>
      </c>
      <c r="E449" s="3">
        <v>113</v>
      </c>
      <c r="F449" s="4">
        <v>6215600</v>
      </c>
      <c r="G449" s="3">
        <v>113</v>
      </c>
      <c r="H449">
        <v>0</v>
      </c>
      <c r="I449">
        <v>114</v>
      </c>
      <c r="J449">
        <v>117</v>
      </c>
      <c r="K449">
        <v>122</v>
      </c>
      <c r="L449">
        <v>1</v>
      </c>
      <c r="M449">
        <v>2018</v>
      </c>
      <c r="N449">
        <v>8</v>
      </c>
      <c r="O449">
        <v>2</v>
      </c>
      <c r="P449">
        <v>3</v>
      </c>
      <c r="Q449" s="2" t="s">
        <v>17</v>
      </c>
    </row>
    <row r="450" spans="1:17" x14ac:dyDescent="0.3">
      <c r="A450" s="1">
        <v>43335</v>
      </c>
      <c r="B450" s="3">
        <v>112</v>
      </c>
      <c r="C450" s="3">
        <v>113</v>
      </c>
      <c r="D450" s="3">
        <v>112</v>
      </c>
      <c r="E450" s="3">
        <v>113</v>
      </c>
      <c r="F450" s="4">
        <v>5500100</v>
      </c>
      <c r="G450" s="3">
        <v>112</v>
      </c>
      <c r="H450">
        <v>-1</v>
      </c>
      <c r="I450">
        <v>114</v>
      </c>
      <c r="J450">
        <v>117</v>
      </c>
      <c r="K450">
        <v>122</v>
      </c>
      <c r="L450">
        <v>1</v>
      </c>
      <c r="M450">
        <v>2018</v>
      </c>
      <c r="N450">
        <v>8</v>
      </c>
      <c r="O450">
        <v>3</v>
      </c>
      <c r="P450">
        <v>3</v>
      </c>
      <c r="Q450" s="2" t="s">
        <v>17</v>
      </c>
    </row>
    <row r="451" spans="1:17" x14ac:dyDescent="0.3">
      <c r="A451" s="1">
        <v>43336</v>
      </c>
      <c r="B451" s="3">
        <v>114</v>
      </c>
      <c r="C451" s="3">
        <v>114</v>
      </c>
      <c r="D451" s="3">
        <v>113</v>
      </c>
      <c r="E451" s="3">
        <v>113</v>
      </c>
      <c r="F451" s="4">
        <v>9214700</v>
      </c>
      <c r="G451" s="3">
        <v>114</v>
      </c>
      <c r="H451">
        <v>2</v>
      </c>
      <c r="I451">
        <v>114</v>
      </c>
      <c r="J451">
        <v>116</v>
      </c>
      <c r="K451">
        <v>122</v>
      </c>
      <c r="L451">
        <v>1</v>
      </c>
      <c r="M451">
        <v>2018</v>
      </c>
      <c r="N451">
        <v>8</v>
      </c>
      <c r="O451">
        <v>4</v>
      </c>
      <c r="P451">
        <v>3</v>
      </c>
      <c r="Q451" s="2" t="s">
        <v>17</v>
      </c>
    </row>
    <row r="452" spans="1:17" x14ac:dyDescent="0.3">
      <c r="A452" s="1">
        <v>43339</v>
      </c>
      <c r="B452" s="3">
        <v>115</v>
      </c>
      <c r="C452" s="3">
        <v>115</v>
      </c>
      <c r="D452" s="3">
        <v>114</v>
      </c>
      <c r="E452" s="3">
        <v>114</v>
      </c>
      <c r="F452" s="4">
        <v>4364000</v>
      </c>
      <c r="G452" s="3">
        <v>115</v>
      </c>
      <c r="H452">
        <v>0</v>
      </c>
      <c r="I452">
        <v>114</v>
      </c>
      <c r="J452">
        <v>116</v>
      </c>
      <c r="K452">
        <v>122</v>
      </c>
      <c r="L452">
        <v>1</v>
      </c>
      <c r="M452">
        <v>2018</v>
      </c>
      <c r="N452">
        <v>8</v>
      </c>
      <c r="O452">
        <v>0</v>
      </c>
      <c r="P452">
        <v>3</v>
      </c>
      <c r="Q452" s="2" t="s">
        <v>17</v>
      </c>
    </row>
    <row r="453" spans="1:17" x14ac:dyDescent="0.3">
      <c r="A453" s="1">
        <v>43340</v>
      </c>
      <c r="B453" s="3">
        <v>114</v>
      </c>
      <c r="C453" s="3">
        <v>115</v>
      </c>
      <c r="D453" s="3">
        <v>114</v>
      </c>
      <c r="E453" s="3">
        <v>115</v>
      </c>
      <c r="F453" s="4">
        <v>6101400</v>
      </c>
      <c r="G453" s="3">
        <v>114</v>
      </c>
      <c r="H453">
        <v>-1</v>
      </c>
      <c r="I453">
        <v>114</v>
      </c>
      <c r="J453">
        <v>116</v>
      </c>
      <c r="K453">
        <v>122</v>
      </c>
      <c r="L453">
        <v>1</v>
      </c>
      <c r="M453">
        <v>2018</v>
      </c>
      <c r="N453">
        <v>8</v>
      </c>
      <c r="O453">
        <v>1</v>
      </c>
      <c r="P453">
        <v>3</v>
      </c>
      <c r="Q453" s="2" t="s">
        <v>17</v>
      </c>
    </row>
    <row r="454" spans="1:17" x14ac:dyDescent="0.3">
      <c r="A454" s="1">
        <v>43341</v>
      </c>
      <c r="B454" s="3">
        <v>114</v>
      </c>
      <c r="C454" s="3">
        <v>114</v>
      </c>
      <c r="D454" s="3">
        <v>114</v>
      </c>
      <c r="E454" s="3">
        <v>114</v>
      </c>
      <c r="F454" s="4">
        <v>5616300</v>
      </c>
      <c r="G454" s="3">
        <v>114</v>
      </c>
      <c r="H454">
        <v>0</v>
      </c>
      <c r="I454">
        <v>114</v>
      </c>
      <c r="J454">
        <v>116</v>
      </c>
      <c r="K454">
        <v>122</v>
      </c>
      <c r="L454">
        <v>1</v>
      </c>
      <c r="M454">
        <v>2018</v>
      </c>
      <c r="N454">
        <v>8</v>
      </c>
      <c r="O454">
        <v>2</v>
      </c>
      <c r="P454">
        <v>3</v>
      </c>
      <c r="Q454" s="2" t="s">
        <v>17</v>
      </c>
    </row>
    <row r="455" spans="1:17" x14ac:dyDescent="0.3">
      <c r="A455" s="1">
        <v>43342</v>
      </c>
      <c r="B455" s="3">
        <v>114</v>
      </c>
      <c r="C455" s="3">
        <v>114</v>
      </c>
      <c r="D455" s="3">
        <v>113</v>
      </c>
      <c r="E455" s="3">
        <v>114</v>
      </c>
      <c r="F455" s="4">
        <v>5431600</v>
      </c>
      <c r="G455" s="3">
        <v>114</v>
      </c>
      <c r="H455">
        <v>0</v>
      </c>
      <c r="I455">
        <v>114</v>
      </c>
      <c r="J455">
        <v>116</v>
      </c>
      <c r="K455">
        <v>122</v>
      </c>
      <c r="L455">
        <v>1</v>
      </c>
      <c r="M455">
        <v>2018</v>
      </c>
      <c r="N455">
        <v>8</v>
      </c>
      <c r="O455">
        <v>3</v>
      </c>
      <c r="P455">
        <v>3</v>
      </c>
      <c r="Q455" s="2" t="s">
        <v>17</v>
      </c>
    </row>
    <row r="456" spans="1:17" x14ac:dyDescent="0.3">
      <c r="A456" s="1">
        <v>43343</v>
      </c>
      <c r="B456" s="3">
        <v>114</v>
      </c>
      <c r="C456" s="3">
        <v>114</v>
      </c>
      <c r="D456" s="3">
        <v>113</v>
      </c>
      <c r="E456" s="3">
        <v>114</v>
      </c>
      <c r="F456" s="4">
        <v>5048700</v>
      </c>
      <c r="G456" s="3">
        <v>114</v>
      </c>
      <c r="H456">
        <v>0</v>
      </c>
      <c r="I456">
        <v>113</v>
      </c>
      <c r="J456">
        <v>116</v>
      </c>
      <c r="K456">
        <v>122</v>
      </c>
      <c r="L456">
        <v>1</v>
      </c>
      <c r="M456">
        <v>2018</v>
      </c>
      <c r="N456">
        <v>8</v>
      </c>
      <c r="O456">
        <v>4</v>
      </c>
      <c r="P456">
        <v>3</v>
      </c>
      <c r="Q456" s="2" t="s">
        <v>17</v>
      </c>
    </row>
    <row r="457" spans="1:17" x14ac:dyDescent="0.3">
      <c r="A457" s="1">
        <v>43347</v>
      </c>
      <c r="B457" s="3">
        <v>113</v>
      </c>
      <c r="C457" s="3">
        <v>113</v>
      </c>
      <c r="D457" s="3">
        <v>113</v>
      </c>
      <c r="E457" s="3">
        <v>113</v>
      </c>
      <c r="F457" s="4">
        <v>6617500</v>
      </c>
      <c r="G457" s="3">
        <v>113</v>
      </c>
      <c r="H457">
        <v>-1</v>
      </c>
      <c r="I457">
        <v>113</v>
      </c>
      <c r="J457">
        <v>116</v>
      </c>
      <c r="K457">
        <v>122</v>
      </c>
      <c r="L457">
        <v>1</v>
      </c>
      <c r="M457">
        <v>2018</v>
      </c>
      <c r="N457">
        <v>9</v>
      </c>
      <c r="O457">
        <v>1</v>
      </c>
      <c r="P457">
        <v>3</v>
      </c>
      <c r="Q457" s="2" t="s">
        <v>17</v>
      </c>
    </row>
    <row r="458" spans="1:17" x14ac:dyDescent="0.3">
      <c r="A458" s="1">
        <v>43348</v>
      </c>
      <c r="B458" s="3">
        <v>113</v>
      </c>
      <c r="C458" s="3">
        <v>113</v>
      </c>
      <c r="D458" s="3">
        <v>113</v>
      </c>
      <c r="E458" s="3">
        <v>113</v>
      </c>
      <c r="F458" s="4">
        <v>4459200</v>
      </c>
      <c r="G458" s="3">
        <v>113</v>
      </c>
      <c r="H458">
        <v>0</v>
      </c>
      <c r="I458">
        <v>113</v>
      </c>
      <c r="J458">
        <v>115</v>
      </c>
      <c r="K458">
        <v>122</v>
      </c>
      <c r="L458">
        <v>1</v>
      </c>
      <c r="M458">
        <v>2018</v>
      </c>
      <c r="N458">
        <v>9</v>
      </c>
      <c r="O458">
        <v>2</v>
      </c>
      <c r="P458">
        <v>3</v>
      </c>
      <c r="Q458" s="2" t="s">
        <v>17</v>
      </c>
    </row>
    <row r="459" spans="1:17" x14ac:dyDescent="0.3">
      <c r="A459" s="1">
        <v>43349</v>
      </c>
      <c r="B459" s="3">
        <v>114</v>
      </c>
      <c r="C459" s="3">
        <v>114</v>
      </c>
      <c r="D459" s="3">
        <v>113</v>
      </c>
      <c r="E459" s="3">
        <v>114</v>
      </c>
      <c r="F459" s="4">
        <v>4784700</v>
      </c>
      <c r="G459" s="3">
        <v>114</v>
      </c>
      <c r="H459">
        <v>0</v>
      </c>
      <c r="I459">
        <v>113</v>
      </c>
      <c r="J459">
        <v>115</v>
      </c>
      <c r="K459">
        <v>122</v>
      </c>
      <c r="L459">
        <v>1</v>
      </c>
      <c r="M459">
        <v>2018</v>
      </c>
      <c r="N459">
        <v>9</v>
      </c>
      <c r="O459">
        <v>3</v>
      </c>
      <c r="P459">
        <v>3</v>
      </c>
      <c r="Q459" s="2" t="s">
        <v>17</v>
      </c>
    </row>
    <row r="460" spans="1:17" x14ac:dyDescent="0.3">
      <c r="A460" s="1">
        <v>43350</v>
      </c>
      <c r="B460" s="3">
        <v>113</v>
      </c>
      <c r="C460" s="3">
        <v>114</v>
      </c>
      <c r="D460" s="3">
        <v>113</v>
      </c>
      <c r="E460" s="3">
        <v>113</v>
      </c>
      <c r="F460" s="4">
        <v>3714000</v>
      </c>
      <c r="G460" s="3">
        <v>113</v>
      </c>
      <c r="H460">
        <v>0</v>
      </c>
      <c r="I460">
        <v>113</v>
      </c>
      <c r="J460">
        <v>115</v>
      </c>
      <c r="K460">
        <v>122</v>
      </c>
      <c r="L460">
        <v>1</v>
      </c>
      <c r="M460">
        <v>2018</v>
      </c>
      <c r="N460">
        <v>9</v>
      </c>
      <c r="O460">
        <v>4</v>
      </c>
      <c r="P460">
        <v>3</v>
      </c>
      <c r="Q460" s="2" t="s">
        <v>17</v>
      </c>
    </row>
    <row r="461" spans="1:17" x14ac:dyDescent="0.3">
      <c r="A461" s="1">
        <v>43353</v>
      </c>
      <c r="B461" s="3">
        <v>113</v>
      </c>
      <c r="C461" s="3">
        <v>113</v>
      </c>
      <c r="D461" s="3">
        <v>113</v>
      </c>
      <c r="E461" s="3">
        <v>113</v>
      </c>
      <c r="F461" s="4">
        <v>2316500</v>
      </c>
      <c r="G461" s="3">
        <v>113</v>
      </c>
      <c r="H461">
        <v>0</v>
      </c>
      <c r="I461">
        <v>113</v>
      </c>
      <c r="J461">
        <v>115</v>
      </c>
      <c r="K461">
        <v>122</v>
      </c>
      <c r="L461">
        <v>1</v>
      </c>
      <c r="M461">
        <v>2018</v>
      </c>
      <c r="N461">
        <v>9</v>
      </c>
      <c r="O461">
        <v>0</v>
      </c>
      <c r="P461">
        <v>3</v>
      </c>
      <c r="Q461" s="2" t="s">
        <v>17</v>
      </c>
    </row>
    <row r="462" spans="1:17" x14ac:dyDescent="0.3">
      <c r="A462" s="1">
        <v>43354</v>
      </c>
      <c r="B462" s="3">
        <v>113</v>
      </c>
      <c r="C462" s="3">
        <v>113</v>
      </c>
      <c r="D462" s="3">
        <v>112</v>
      </c>
      <c r="E462" s="3">
        <v>113</v>
      </c>
      <c r="F462" s="4">
        <v>3791300</v>
      </c>
      <c r="G462" s="3">
        <v>113</v>
      </c>
      <c r="H462">
        <v>0</v>
      </c>
      <c r="I462">
        <v>113</v>
      </c>
      <c r="J462">
        <v>115</v>
      </c>
      <c r="K462">
        <v>122</v>
      </c>
      <c r="L462">
        <v>1</v>
      </c>
      <c r="M462">
        <v>2018</v>
      </c>
      <c r="N462">
        <v>9</v>
      </c>
      <c r="O462">
        <v>1</v>
      </c>
      <c r="P462">
        <v>3</v>
      </c>
      <c r="Q462" s="2" t="s">
        <v>17</v>
      </c>
    </row>
    <row r="463" spans="1:17" x14ac:dyDescent="0.3">
      <c r="A463" s="1">
        <v>43355</v>
      </c>
      <c r="B463" s="3">
        <v>114</v>
      </c>
      <c r="C463" s="3">
        <v>114</v>
      </c>
      <c r="D463" s="3">
        <v>113</v>
      </c>
      <c r="E463" s="3">
        <v>113</v>
      </c>
      <c r="F463" s="4">
        <v>6315900</v>
      </c>
      <c r="G463" s="3">
        <v>114</v>
      </c>
      <c r="H463">
        <v>1</v>
      </c>
      <c r="I463">
        <v>113</v>
      </c>
      <c r="J463">
        <v>115</v>
      </c>
      <c r="K463">
        <v>122</v>
      </c>
      <c r="L463">
        <v>1</v>
      </c>
      <c r="M463">
        <v>2018</v>
      </c>
      <c r="N463">
        <v>9</v>
      </c>
      <c r="O463">
        <v>2</v>
      </c>
      <c r="P463">
        <v>3</v>
      </c>
      <c r="Q463" s="2" t="s">
        <v>17</v>
      </c>
    </row>
    <row r="464" spans="1:17" x14ac:dyDescent="0.3">
      <c r="A464" s="1">
        <v>43356</v>
      </c>
      <c r="B464" s="3">
        <v>114</v>
      </c>
      <c r="C464" s="3">
        <v>115</v>
      </c>
      <c r="D464" s="3">
        <v>114</v>
      </c>
      <c r="E464" s="3">
        <v>115</v>
      </c>
      <c r="F464" s="4">
        <v>5635900</v>
      </c>
      <c r="G464" s="3">
        <v>114</v>
      </c>
      <c r="H464">
        <v>0</v>
      </c>
      <c r="I464">
        <v>113</v>
      </c>
      <c r="J464">
        <v>115</v>
      </c>
      <c r="K464">
        <v>122</v>
      </c>
      <c r="L464">
        <v>1</v>
      </c>
      <c r="M464">
        <v>2018</v>
      </c>
      <c r="N464">
        <v>9</v>
      </c>
      <c r="O464">
        <v>3</v>
      </c>
      <c r="P464">
        <v>3</v>
      </c>
      <c r="Q464" s="2" t="s">
        <v>17</v>
      </c>
    </row>
    <row r="465" spans="1:17" x14ac:dyDescent="0.3">
      <c r="A465" s="1">
        <v>43357</v>
      </c>
      <c r="B465" s="3">
        <v>113</v>
      </c>
      <c r="C465" s="3">
        <v>114</v>
      </c>
      <c r="D465" s="3">
        <v>113</v>
      </c>
      <c r="E465" s="3">
        <v>114</v>
      </c>
      <c r="F465" s="4">
        <v>5375600</v>
      </c>
      <c r="G465" s="3">
        <v>113</v>
      </c>
      <c r="H465">
        <v>-1</v>
      </c>
      <c r="I465">
        <v>113</v>
      </c>
      <c r="J465">
        <v>115</v>
      </c>
      <c r="K465">
        <v>122</v>
      </c>
      <c r="L465">
        <v>1</v>
      </c>
      <c r="M465">
        <v>2018</v>
      </c>
      <c r="N465">
        <v>9</v>
      </c>
      <c r="O465">
        <v>4</v>
      </c>
      <c r="P465">
        <v>3</v>
      </c>
      <c r="Q465" s="2" t="s">
        <v>17</v>
      </c>
    </row>
    <row r="466" spans="1:17" x14ac:dyDescent="0.3">
      <c r="A466" s="1">
        <v>43360</v>
      </c>
      <c r="B466" s="3">
        <v>114</v>
      </c>
      <c r="C466" s="3">
        <v>114</v>
      </c>
      <c r="D466" s="3">
        <v>114</v>
      </c>
      <c r="E466" s="3">
        <v>114</v>
      </c>
      <c r="F466" s="4">
        <v>4727300</v>
      </c>
      <c r="G466" s="3">
        <v>114</v>
      </c>
      <c r="H466">
        <v>1</v>
      </c>
      <c r="I466">
        <v>113</v>
      </c>
      <c r="J466">
        <v>115</v>
      </c>
      <c r="K466">
        <v>122</v>
      </c>
      <c r="L466">
        <v>1</v>
      </c>
      <c r="M466">
        <v>2018</v>
      </c>
      <c r="N466">
        <v>9</v>
      </c>
      <c r="O466">
        <v>0</v>
      </c>
      <c r="P466">
        <v>3</v>
      </c>
      <c r="Q466" s="2" t="s">
        <v>17</v>
      </c>
    </row>
    <row r="467" spans="1:17" x14ac:dyDescent="0.3">
      <c r="A467" s="1">
        <v>43361</v>
      </c>
      <c r="B467" s="3">
        <v>113</v>
      </c>
      <c r="C467" s="3">
        <v>114</v>
      </c>
      <c r="D467" s="3">
        <v>113</v>
      </c>
      <c r="E467" s="3">
        <v>114</v>
      </c>
      <c r="F467" s="4">
        <v>4737800</v>
      </c>
      <c r="G467" s="3">
        <v>113</v>
      </c>
      <c r="H467">
        <v>0</v>
      </c>
      <c r="I467">
        <v>113</v>
      </c>
      <c r="J467">
        <v>115</v>
      </c>
      <c r="K467">
        <v>122</v>
      </c>
      <c r="L467">
        <v>1</v>
      </c>
      <c r="M467">
        <v>2018</v>
      </c>
      <c r="N467">
        <v>9</v>
      </c>
      <c r="O467">
        <v>1</v>
      </c>
      <c r="P467">
        <v>3</v>
      </c>
      <c r="Q467" s="2" t="s">
        <v>17</v>
      </c>
    </row>
    <row r="468" spans="1:17" x14ac:dyDescent="0.3">
      <c r="A468" s="1">
        <v>43362</v>
      </c>
      <c r="B468" s="3">
        <v>114</v>
      </c>
      <c r="C468" s="3">
        <v>114</v>
      </c>
      <c r="D468" s="3">
        <v>114</v>
      </c>
      <c r="E468" s="3">
        <v>114</v>
      </c>
      <c r="F468" s="4">
        <v>4223200</v>
      </c>
      <c r="G468" s="3">
        <v>114</v>
      </c>
      <c r="H468">
        <v>0</v>
      </c>
      <c r="I468">
        <v>114</v>
      </c>
      <c r="J468">
        <v>114</v>
      </c>
      <c r="K468">
        <v>122</v>
      </c>
      <c r="L468">
        <v>1</v>
      </c>
      <c r="M468">
        <v>2018</v>
      </c>
      <c r="N468">
        <v>9</v>
      </c>
      <c r="O468">
        <v>2</v>
      </c>
      <c r="P468">
        <v>3</v>
      </c>
      <c r="Q468" s="2" t="s">
        <v>17</v>
      </c>
    </row>
    <row r="469" spans="1:17" x14ac:dyDescent="0.3">
      <c r="A469" s="1">
        <v>43363</v>
      </c>
      <c r="B469" s="3">
        <v>114</v>
      </c>
      <c r="C469" s="3">
        <v>114</v>
      </c>
      <c r="D469" s="3">
        <v>114</v>
      </c>
      <c r="E469" s="3">
        <v>114</v>
      </c>
      <c r="F469" s="4">
        <v>4384200</v>
      </c>
      <c r="G469" s="3">
        <v>114</v>
      </c>
      <c r="H469">
        <v>0</v>
      </c>
      <c r="I469">
        <v>114</v>
      </c>
      <c r="J469">
        <v>114</v>
      </c>
      <c r="K469">
        <v>122</v>
      </c>
      <c r="L469">
        <v>1</v>
      </c>
      <c r="M469">
        <v>2018</v>
      </c>
      <c r="N469">
        <v>9</v>
      </c>
      <c r="O469">
        <v>3</v>
      </c>
      <c r="P469">
        <v>3</v>
      </c>
      <c r="Q469" s="2" t="s">
        <v>17</v>
      </c>
    </row>
    <row r="470" spans="1:17" x14ac:dyDescent="0.3">
      <c r="A470" s="1">
        <v>43364</v>
      </c>
      <c r="B470" s="3">
        <v>113</v>
      </c>
      <c r="C470" s="3">
        <v>114</v>
      </c>
      <c r="D470" s="3">
        <v>113</v>
      </c>
      <c r="E470" s="3">
        <v>113</v>
      </c>
      <c r="F470" s="4">
        <v>6831400</v>
      </c>
      <c r="G470" s="3">
        <v>113</v>
      </c>
      <c r="H470">
        <v>-1</v>
      </c>
      <c r="I470">
        <v>114</v>
      </c>
      <c r="J470">
        <v>114</v>
      </c>
      <c r="K470">
        <v>122</v>
      </c>
      <c r="L470">
        <v>1</v>
      </c>
      <c r="M470">
        <v>2018</v>
      </c>
      <c r="N470">
        <v>9</v>
      </c>
      <c r="O470">
        <v>4</v>
      </c>
      <c r="P470">
        <v>3</v>
      </c>
      <c r="Q470" s="2" t="s">
        <v>17</v>
      </c>
    </row>
    <row r="471" spans="1:17" x14ac:dyDescent="0.3">
      <c r="A471" s="1">
        <v>43367</v>
      </c>
      <c r="B471" s="3">
        <v>113</v>
      </c>
      <c r="C471" s="3">
        <v>114</v>
      </c>
      <c r="D471" s="3">
        <v>113</v>
      </c>
      <c r="E471" s="3">
        <v>114</v>
      </c>
      <c r="F471" s="4">
        <v>4435300</v>
      </c>
      <c r="G471" s="3">
        <v>113</v>
      </c>
      <c r="H471">
        <v>0</v>
      </c>
      <c r="I471">
        <v>114</v>
      </c>
      <c r="J471">
        <v>114</v>
      </c>
      <c r="K471">
        <v>122</v>
      </c>
      <c r="L471">
        <v>0</v>
      </c>
      <c r="M471">
        <v>2018</v>
      </c>
      <c r="N471">
        <v>9</v>
      </c>
      <c r="O471">
        <v>0</v>
      </c>
      <c r="P471">
        <v>3</v>
      </c>
      <c r="Q471" s="2" t="s">
        <v>17</v>
      </c>
    </row>
    <row r="472" spans="1:17" x14ac:dyDescent="0.3">
      <c r="A472" s="1">
        <v>43368</v>
      </c>
      <c r="B472" s="3">
        <v>114</v>
      </c>
      <c r="C472" s="3">
        <v>114</v>
      </c>
      <c r="D472" s="3">
        <v>114</v>
      </c>
      <c r="E472" s="3">
        <v>114</v>
      </c>
      <c r="F472" s="4">
        <v>3004800</v>
      </c>
      <c r="G472" s="3">
        <v>114</v>
      </c>
      <c r="H472">
        <v>0</v>
      </c>
      <c r="I472">
        <v>114</v>
      </c>
      <c r="J472">
        <v>114</v>
      </c>
      <c r="K472">
        <v>122</v>
      </c>
      <c r="L472">
        <v>0</v>
      </c>
      <c r="M472">
        <v>2018</v>
      </c>
      <c r="N472">
        <v>9</v>
      </c>
      <c r="O472">
        <v>1</v>
      </c>
      <c r="P472">
        <v>3</v>
      </c>
      <c r="Q472" s="2" t="s">
        <v>17</v>
      </c>
    </row>
    <row r="473" spans="1:17" x14ac:dyDescent="0.3">
      <c r="A473" s="1">
        <v>43369</v>
      </c>
      <c r="B473" s="3">
        <v>113</v>
      </c>
      <c r="C473" s="3">
        <v>114</v>
      </c>
      <c r="D473" s="3">
        <v>113</v>
      </c>
      <c r="E473" s="3">
        <v>113</v>
      </c>
      <c r="F473" s="4">
        <v>8297300</v>
      </c>
      <c r="G473" s="3">
        <v>113</v>
      </c>
      <c r="H473">
        <v>-1</v>
      </c>
      <c r="I473">
        <v>114</v>
      </c>
      <c r="J473">
        <v>114</v>
      </c>
      <c r="K473">
        <v>122</v>
      </c>
      <c r="L473">
        <v>0</v>
      </c>
      <c r="M473">
        <v>2018</v>
      </c>
      <c r="N473">
        <v>9</v>
      </c>
      <c r="O473">
        <v>2</v>
      </c>
      <c r="P473">
        <v>3</v>
      </c>
      <c r="Q473" s="2" t="s">
        <v>17</v>
      </c>
    </row>
    <row r="474" spans="1:17" x14ac:dyDescent="0.3">
      <c r="A474" s="1">
        <v>43370</v>
      </c>
      <c r="B474" s="3">
        <v>112</v>
      </c>
      <c r="C474" s="3">
        <v>112</v>
      </c>
      <c r="D474" s="3">
        <v>112</v>
      </c>
      <c r="E474" s="3">
        <v>112</v>
      </c>
      <c r="F474" s="4">
        <v>7683400</v>
      </c>
      <c r="G474" s="3">
        <v>112</v>
      </c>
      <c r="H474">
        <v>-1</v>
      </c>
      <c r="I474">
        <v>113</v>
      </c>
      <c r="J474">
        <v>114</v>
      </c>
      <c r="K474">
        <v>121</v>
      </c>
      <c r="L474">
        <v>0</v>
      </c>
      <c r="M474">
        <v>2018</v>
      </c>
      <c r="N474">
        <v>9</v>
      </c>
      <c r="O474">
        <v>3</v>
      </c>
      <c r="P474">
        <v>3</v>
      </c>
      <c r="Q474" s="2" t="s">
        <v>17</v>
      </c>
    </row>
    <row r="475" spans="1:17" x14ac:dyDescent="0.3">
      <c r="A475" s="1">
        <v>43371</v>
      </c>
      <c r="B475" s="3">
        <v>113</v>
      </c>
      <c r="C475" s="3">
        <v>113</v>
      </c>
      <c r="D475" s="3">
        <v>112</v>
      </c>
      <c r="E475" s="3">
        <v>112</v>
      </c>
      <c r="F475" s="4">
        <v>6020600</v>
      </c>
      <c r="G475" s="3">
        <v>113</v>
      </c>
      <c r="H475">
        <v>1</v>
      </c>
      <c r="I475">
        <v>113</v>
      </c>
      <c r="J475">
        <v>114</v>
      </c>
      <c r="K475">
        <v>121</v>
      </c>
      <c r="L475">
        <v>0</v>
      </c>
      <c r="M475">
        <v>2018</v>
      </c>
      <c r="N475">
        <v>9</v>
      </c>
      <c r="O475">
        <v>4</v>
      </c>
      <c r="P475">
        <v>3</v>
      </c>
      <c r="Q475" s="2" t="s">
        <v>17</v>
      </c>
    </row>
    <row r="476" spans="1:17" x14ac:dyDescent="0.3">
      <c r="A476" s="1">
        <v>43374</v>
      </c>
      <c r="B476" s="3">
        <v>113</v>
      </c>
      <c r="C476" s="3">
        <v>113</v>
      </c>
      <c r="D476" s="3">
        <v>112</v>
      </c>
      <c r="E476" s="3">
        <v>112</v>
      </c>
      <c r="F476" s="4">
        <v>3892600</v>
      </c>
      <c r="G476" s="3">
        <v>113</v>
      </c>
      <c r="H476">
        <v>0</v>
      </c>
      <c r="I476">
        <v>113</v>
      </c>
      <c r="J476">
        <v>114</v>
      </c>
      <c r="K476">
        <v>121</v>
      </c>
      <c r="L476">
        <v>0</v>
      </c>
      <c r="M476">
        <v>2018</v>
      </c>
      <c r="N476">
        <v>10</v>
      </c>
      <c r="O476">
        <v>0</v>
      </c>
      <c r="P476">
        <v>4</v>
      </c>
      <c r="Q476" s="2" t="s">
        <v>17</v>
      </c>
    </row>
    <row r="477" spans="1:17" x14ac:dyDescent="0.3">
      <c r="A477" s="1">
        <v>43375</v>
      </c>
      <c r="B477" s="3">
        <v>114</v>
      </c>
      <c r="C477" s="3">
        <v>114</v>
      </c>
      <c r="D477" s="3">
        <v>114</v>
      </c>
      <c r="E477" s="3">
        <v>114</v>
      </c>
      <c r="F477" s="4">
        <v>10776700</v>
      </c>
      <c r="G477" s="3">
        <v>114</v>
      </c>
      <c r="H477">
        <v>1</v>
      </c>
      <c r="I477">
        <v>113</v>
      </c>
      <c r="J477">
        <v>114</v>
      </c>
      <c r="K477">
        <v>121</v>
      </c>
      <c r="L477">
        <v>1</v>
      </c>
      <c r="M477">
        <v>2018</v>
      </c>
      <c r="N477">
        <v>10</v>
      </c>
      <c r="O477">
        <v>1</v>
      </c>
      <c r="P477">
        <v>4</v>
      </c>
      <c r="Q477" s="2" t="s">
        <v>17</v>
      </c>
    </row>
    <row r="478" spans="1:17" x14ac:dyDescent="0.3">
      <c r="A478" s="1">
        <v>43376</v>
      </c>
      <c r="B478" s="3">
        <v>113</v>
      </c>
      <c r="C478" s="3">
        <v>114</v>
      </c>
      <c r="D478" s="3">
        <v>113</v>
      </c>
      <c r="E478" s="3">
        <v>114</v>
      </c>
      <c r="F478" s="4">
        <v>6674500</v>
      </c>
      <c r="G478" s="3">
        <v>113</v>
      </c>
      <c r="H478">
        <v>0</v>
      </c>
      <c r="I478">
        <v>113</v>
      </c>
      <c r="J478">
        <v>114</v>
      </c>
      <c r="K478">
        <v>121</v>
      </c>
      <c r="L478">
        <v>1</v>
      </c>
      <c r="M478">
        <v>2018</v>
      </c>
      <c r="N478">
        <v>10</v>
      </c>
      <c r="O478">
        <v>2</v>
      </c>
      <c r="P478">
        <v>4</v>
      </c>
      <c r="Q478" s="2" t="s">
        <v>17</v>
      </c>
    </row>
    <row r="479" spans="1:17" x14ac:dyDescent="0.3">
      <c r="A479" s="1">
        <v>43377</v>
      </c>
      <c r="B479" s="3">
        <v>113</v>
      </c>
      <c r="C479" s="3">
        <v>114</v>
      </c>
      <c r="D479" s="3">
        <v>113</v>
      </c>
      <c r="E479" s="3">
        <v>114</v>
      </c>
      <c r="F479" s="4">
        <v>6616200</v>
      </c>
      <c r="G479" s="3">
        <v>113</v>
      </c>
      <c r="H479">
        <v>0</v>
      </c>
      <c r="I479">
        <v>113</v>
      </c>
      <c r="J479">
        <v>114</v>
      </c>
      <c r="K479">
        <v>121</v>
      </c>
      <c r="L479">
        <v>1</v>
      </c>
      <c r="M479">
        <v>2018</v>
      </c>
      <c r="N479">
        <v>10</v>
      </c>
      <c r="O479">
        <v>3</v>
      </c>
      <c r="P479">
        <v>4</v>
      </c>
      <c r="Q479" s="2" t="s">
        <v>17</v>
      </c>
    </row>
    <row r="480" spans="1:17" x14ac:dyDescent="0.3">
      <c r="A480" s="1">
        <v>43378</v>
      </c>
      <c r="B480" s="3">
        <v>114</v>
      </c>
      <c r="C480" s="3">
        <v>114</v>
      </c>
      <c r="D480" s="3">
        <v>114</v>
      </c>
      <c r="E480" s="3">
        <v>114</v>
      </c>
      <c r="F480" s="4">
        <v>7994400</v>
      </c>
      <c r="G480" s="3">
        <v>114</v>
      </c>
      <c r="H480">
        <v>0</v>
      </c>
      <c r="I480">
        <v>113</v>
      </c>
      <c r="J480">
        <v>114</v>
      </c>
      <c r="K480">
        <v>121</v>
      </c>
      <c r="L480">
        <v>1</v>
      </c>
      <c r="M480">
        <v>2018</v>
      </c>
      <c r="N480">
        <v>10</v>
      </c>
      <c r="O480">
        <v>4</v>
      </c>
      <c r="P480">
        <v>4</v>
      </c>
      <c r="Q480" s="2" t="s">
        <v>17</v>
      </c>
    </row>
    <row r="481" spans="1:17" x14ac:dyDescent="0.3">
      <c r="A481" s="1">
        <v>43381</v>
      </c>
      <c r="B481" s="3">
        <v>113</v>
      </c>
      <c r="C481" s="3">
        <v>113</v>
      </c>
      <c r="D481" s="3">
        <v>112</v>
      </c>
      <c r="E481" s="3">
        <v>112</v>
      </c>
      <c r="F481" s="4">
        <v>12111600</v>
      </c>
      <c r="G481" s="3">
        <v>113</v>
      </c>
      <c r="H481">
        <v>-1</v>
      </c>
      <c r="I481">
        <v>113</v>
      </c>
      <c r="J481">
        <v>114</v>
      </c>
      <c r="K481">
        <v>121</v>
      </c>
      <c r="L481">
        <v>1</v>
      </c>
      <c r="M481">
        <v>2018</v>
      </c>
      <c r="N481">
        <v>10</v>
      </c>
      <c r="O481">
        <v>0</v>
      </c>
      <c r="P481">
        <v>4</v>
      </c>
      <c r="Q481" s="2" t="s">
        <v>17</v>
      </c>
    </row>
    <row r="482" spans="1:17" x14ac:dyDescent="0.3">
      <c r="A482" s="1">
        <v>43382</v>
      </c>
      <c r="B482" s="3">
        <v>113</v>
      </c>
      <c r="C482" s="3">
        <v>113</v>
      </c>
      <c r="D482" s="3">
        <v>112</v>
      </c>
      <c r="E482" s="3">
        <v>112</v>
      </c>
      <c r="F482" s="4">
        <v>8352300</v>
      </c>
      <c r="G482" s="3">
        <v>113</v>
      </c>
      <c r="H482">
        <v>0</v>
      </c>
      <c r="I482">
        <v>113</v>
      </c>
      <c r="J482">
        <v>114</v>
      </c>
      <c r="K482">
        <v>121</v>
      </c>
      <c r="L482">
        <v>1</v>
      </c>
      <c r="M482">
        <v>2018</v>
      </c>
      <c r="N482">
        <v>10</v>
      </c>
      <c r="O482">
        <v>1</v>
      </c>
      <c r="P482">
        <v>4</v>
      </c>
      <c r="Q482" s="2" t="s">
        <v>17</v>
      </c>
    </row>
    <row r="483" spans="1:17" x14ac:dyDescent="0.3">
      <c r="A483" s="1">
        <v>43383</v>
      </c>
      <c r="B483" s="3">
        <v>113</v>
      </c>
      <c r="C483" s="3">
        <v>113</v>
      </c>
      <c r="D483" s="3">
        <v>112</v>
      </c>
      <c r="E483" s="3">
        <v>112</v>
      </c>
      <c r="F483" s="4">
        <v>10571300</v>
      </c>
      <c r="G483" s="3">
        <v>113</v>
      </c>
      <c r="H483">
        <v>0</v>
      </c>
      <c r="I483">
        <v>113</v>
      </c>
      <c r="J483">
        <v>113</v>
      </c>
      <c r="K483">
        <v>121</v>
      </c>
      <c r="L483">
        <v>1</v>
      </c>
      <c r="M483">
        <v>2018</v>
      </c>
      <c r="N483">
        <v>10</v>
      </c>
      <c r="O483">
        <v>2</v>
      </c>
      <c r="P483">
        <v>4</v>
      </c>
      <c r="Q483" s="2" t="s">
        <v>17</v>
      </c>
    </row>
    <row r="484" spans="1:17" x14ac:dyDescent="0.3">
      <c r="A484" s="1">
        <v>43384</v>
      </c>
      <c r="B484" s="3">
        <v>116</v>
      </c>
      <c r="C484" s="3">
        <v>116</v>
      </c>
      <c r="D484" s="3">
        <v>114</v>
      </c>
      <c r="E484" s="3">
        <v>114</v>
      </c>
      <c r="F484" s="4">
        <v>26810900</v>
      </c>
      <c r="G484" s="3">
        <v>116</v>
      </c>
      <c r="H484">
        <v>3</v>
      </c>
      <c r="I484">
        <v>113</v>
      </c>
      <c r="J484">
        <v>113</v>
      </c>
      <c r="K484">
        <v>121</v>
      </c>
      <c r="L484">
        <v>1</v>
      </c>
      <c r="M484">
        <v>2018</v>
      </c>
      <c r="N484">
        <v>10</v>
      </c>
      <c r="O484">
        <v>3</v>
      </c>
      <c r="P484">
        <v>4</v>
      </c>
      <c r="Q484" s="2" t="s">
        <v>17</v>
      </c>
    </row>
    <row r="485" spans="1:17" x14ac:dyDescent="0.3">
      <c r="A485" s="1">
        <v>43385</v>
      </c>
      <c r="B485" s="3">
        <v>115</v>
      </c>
      <c r="C485" s="3">
        <v>116</v>
      </c>
      <c r="D485" s="3">
        <v>115</v>
      </c>
      <c r="E485" s="3">
        <v>116</v>
      </c>
      <c r="F485" s="4">
        <v>12939300</v>
      </c>
      <c r="G485" s="3">
        <v>115</v>
      </c>
      <c r="H485">
        <v>0</v>
      </c>
      <c r="I485">
        <v>113</v>
      </c>
      <c r="J485">
        <v>113</v>
      </c>
      <c r="K485">
        <v>121</v>
      </c>
      <c r="L485">
        <v>1</v>
      </c>
      <c r="M485">
        <v>2018</v>
      </c>
      <c r="N485">
        <v>10</v>
      </c>
      <c r="O485">
        <v>4</v>
      </c>
      <c r="P485">
        <v>4</v>
      </c>
      <c r="Q485" s="2" t="s">
        <v>17</v>
      </c>
    </row>
    <row r="486" spans="1:17" x14ac:dyDescent="0.3">
      <c r="A486" s="1">
        <v>43388</v>
      </c>
      <c r="B486" s="3">
        <v>116</v>
      </c>
      <c r="C486" s="3">
        <v>117</v>
      </c>
      <c r="D486" s="3">
        <v>116</v>
      </c>
      <c r="E486" s="3">
        <v>116</v>
      </c>
      <c r="F486" s="4">
        <v>11828400</v>
      </c>
      <c r="G486" s="3">
        <v>116</v>
      </c>
      <c r="H486">
        <v>1</v>
      </c>
      <c r="I486">
        <v>114</v>
      </c>
      <c r="J486">
        <v>113</v>
      </c>
      <c r="K486">
        <v>121</v>
      </c>
      <c r="L486">
        <v>1</v>
      </c>
      <c r="M486">
        <v>2018</v>
      </c>
      <c r="N486">
        <v>10</v>
      </c>
      <c r="O486">
        <v>0</v>
      </c>
      <c r="P486">
        <v>4</v>
      </c>
      <c r="Q486" s="2" t="s">
        <v>17</v>
      </c>
    </row>
    <row r="487" spans="1:17" x14ac:dyDescent="0.3">
      <c r="A487" s="1">
        <v>43389</v>
      </c>
      <c r="B487" s="3">
        <v>116</v>
      </c>
      <c r="C487" s="3">
        <v>117</v>
      </c>
      <c r="D487" s="3">
        <v>116</v>
      </c>
      <c r="E487" s="3">
        <v>116</v>
      </c>
      <c r="F487" s="4">
        <v>9531800</v>
      </c>
      <c r="G487" s="3">
        <v>116</v>
      </c>
      <c r="H487">
        <v>0</v>
      </c>
      <c r="I487">
        <v>114</v>
      </c>
      <c r="J487">
        <v>114</v>
      </c>
      <c r="K487">
        <v>121</v>
      </c>
      <c r="L487">
        <v>1</v>
      </c>
      <c r="M487">
        <v>2018</v>
      </c>
      <c r="N487">
        <v>10</v>
      </c>
      <c r="O487">
        <v>1</v>
      </c>
      <c r="P487">
        <v>4</v>
      </c>
      <c r="Q487" s="2" t="s">
        <v>17</v>
      </c>
    </row>
    <row r="488" spans="1:17" x14ac:dyDescent="0.3">
      <c r="A488" s="1">
        <v>43390</v>
      </c>
      <c r="B488" s="3">
        <v>116</v>
      </c>
      <c r="C488" s="3">
        <v>116</v>
      </c>
      <c r="D488" s="3">
        <v>116</v>
      </c>
      <c r="E488" s="3">
        <v>116</v>
      </c>
      <c r="F488" s="4">
        <v>7078600</v>
      </c>
      <c r="G488" s="3">
        <v>116</v>
      </c>
      <c r="H488">
        <v>0</v>
      </c>
      <c r="I488">
        <v>114</v>
      </c>
      <c r="J488">
        <v>114</v>
      </c>
      <c r="K488">
        <v>121</v>
      </c>
      <c r="L488">
        <v>1</v>
      </c>
      <c r="M488">
        <v>2018</v>
      </c>
      <c r="N488">
        <v>10</v>
      </c>
      <c r="O488">
        <v>2</v>
      </c>
      <c r="P488">
        <v>4</v>
      </c>
      <c r="Q488" s="2" t="s">
        <v>17</v>
      </c>
    </row>
    <row r="489" spans="1:17" x14ac:dyDescent="0.3">
      <c r="A489" s="1">
        <v>43391</v>
      </c>
      <c r="B489" s="3">
        <v>116</v>
      </c>
      <c r="C489" s="3">
        <v>116</v>
      </c>
      <c r="D489" s="3">
        <v>116</v>
      </c>
      <c r="E489" s="3">
        <v>116</v>
      </c>
      <c r="F489" s="4">
        <v>7964100</v>
      </c>
      <c r="G489" s="3">
        <v>116</v>
      </c>
      <c r="H489">
        <v>0</v>
      </c>
      <c r="I489">
        <v>114</v>
      </c>
      <c r="J489">
        <v>114</v>
      </c>
      <c r="K489">
        <v>121</v>
      </c>
      <c r="L489">
        <v>1</v>
      </c>
      <c r="M489">
        <v>2018</v>
      </c>
      <c r="N489">
        <v>10</v>
      </c>
      <c r="O489">
        <v>3</v>
      </c>
      <c r="P489">
        <v>4</v>
      </c>
      <c r="Q489" s="2" t="s">
        <v>17</v>
      </c>
    </row>
    <row r="490" spans="1:17" x14ac:dyDescent="0.3">
      <c r="A490" s="1">
        <v>43392</v>
      </c>
      <c r="B490" s="3">
        <v>116</v>
      </c>
      <c r="C490" s="3">
        <v>116</v>
      </c>
      <c r="D490" s="3">
        <v>116</v>
      </c>
      <c r="E490" s="3">
        <v>116</v>
      </c>
      <c r="F490" s="4">
        <v>7453900</v>
      </c>
      <c r="G490" s="3">
        <v>116</v>
      </c>
      <c r="H490">
        <v>0</v>
      </c>
      <c r="I490">
        <v>114</v>
      </c>
      <c r="J490">
        <v>114</v>
      </c>
      <c r="K490">
        <v>121</v>
      </c>
      <c r="L490">
        <v>1</v>
      </c>
      <c r="M490">
        <v>2018</v>
      </c>
      <c r="N490">
        <v>10</v>
      </c>
      <c r="O490">
        <v>4</v>
      </c>
      <c r="P490">
        <v>4</v>
      </c>
      <c r="Q490" s="2" t="s">
        <v>17</v>
      </c>
    </row>
    <row r="491" spans="1:17" x14ac:dyDescent="0.3">
      <c r="A491" s="1">
        <v>43395</v>
      </c>
      <c r="B491" s="3">
        <v>116</v>
      </c>
      <c r="C491" s="3">
        <v>116</v>
      </c>
      <c r="D491" s="3">
        <v>115</v>
      </c>
      <c r="E491" s="3">
        <v>116</v>
      </c>
      <c r="F491" s="4">
        <v>5200500</v>
      </c>
      <c r="G491" s="3">
        <v>116</v>
      </c>
      <c r="H491">
        <v>0</v>
      </c>
      <c r="I491">
        <v>114</v>
      </c>
      <c r="J491">
        <v>114</v>
      </c>
      <c r="K491">
        <v>121</v>
      </c>
      <c r="L491">
        <v>1</v>
      </c>
      <c r="M491">
        <v>2018</v>
      </c>
      <c r="N491">
        <v>10</v>
      </c>
      <c r="O491">
        <v>0</v>
      </c>
      <c r="P491">
        <v>4</v>
      </c>
      <c r="Q491" s="2" t="s">
        <v>17</v>
      </c>
    </row>
    <row r="492" spans="1:17" x14ac:dyDescent="0.3">
      <c r="A492" s="1">
        <v>43396</v>
      </c>
      <c r="B492" s="3">
        <v>116</v>
      </c>
      <c r="C492" s="3">
        <v>117</v>
      </c>
      <c r="D492" s="3">
        <v>116</v>
      </c>
      <c r="E492" s="3">
        <v>117</v>
      </c>
      <c r="F492" s="4">
        <v>12704200</v>
      </c>
      <c r="G492" s="3">
        <v>116</v>
      </c>
      <c r="H492">
        <v>1</v>
      </c>
      <c r="I492">
        <v>114</v>
      </c>
      <c r="J492">
        <v>114</v>
      </c>
      <c r="K492">
        <v>121</v>
      </c>
      <c r="L492">
        <v>1</v>
      </c>
      <c r="M492">
        <v>2018</v>
      </c>
      <c r="N492">
        <v>10</v>
      </c>
      <c r="O492">
        <v>1</v>
      </c>
      <c r="P492">
        <v>4</v>
      </c>
      <c r="Q492" s="2" t="s">
        <v>17</v>
      </c>
    </row>
    <row r="493" spans="1:17" x14ac:dyDescent="0.3">
      <c r="A493" s="1">
        <v>43397</v>
      </c>
      <c r="B493" s="3">
        <v>117</v>
      </c>
      <c r="C493" s="3">
        <v>117</v>
      </c>
      <c r="D493" s="3">
        <v>116</v>
      </c>
      <c r="E493" s="3">
        <v>116</v>
      </c>
      <c r="F493" s="4">
        <v>8563300</v>
      </c>
      <c r="G493" s="3">
        <v>117</v>
      </c>
      <c r="H493">
        <v>0</v>
      </c>
      <c r="I493">
        <v>114</v>
      </c>
      <c r="J493">
        <v>114</v>
      </c>
      <c r="K493">
        <v>121</v>
      </c>
      <c r="L493">
        <v>1</v>
      </c>
      <c r="M493">
        <v>2018</v>
      </c>
      <c r="N493">
        <v>10</v>
      </c>
      <c r="O493">
        <v>2</v>
      </c>
      <c r="P493">
        <v>4</v>
      </c>
      <c r="Q493" s="2" t="s">
        <v>17</v>
      </c>
    </row>
    <row r="494" spans="1:17" x14ac:dyDescent="0.3">
      <c r="A494" s="1">
        <v>43398</v>
      </c>
      <c r="B494" s="3">
        <v>116</v>
      </c>
      <c r="C494" s="3">
        <v>117</v>
      </c>
      <c r="D494" s="3">
        <v>116</v>
      </c>
      <c r="E494" s="3">
        <v>117</v>
      </c>
      <c r="F494" s="4">
        <v>8303500</v>
      </c>
      <c r="G494" s="3">
        <v>116</v>
      </c>
      <c r="H494">
        <v>0</v>
      </c>
      <c r="I494">
        <v>115</v>
      </c>
      <c r="J494">
        <v>114</v>
      </c>
      <c r="K494">
        <v>121</v>
      </c>
      <c r="L494">
        <v>1</v>
      </c>
      <c r="M494">
        <v>2018</v>
      </c>
      <c r="N494">
        <v>10</v>
      </c>
      <c r="O494">
        <v>3</v>
      </c>
      <c r="P494">
        <v>4</v>
      </c>
      <c r="Q494" s="2" t="s">
        <v>17</v>
      </c>
    </row>
    <row r="495" spans="1:17" x14ac:dyDescent="0.3">
      <c r="A495" s="1">
        <v>43399</v>
      </c>
      <c r="B495" s="3">
        <v>117</v>
      </c>
      <c r="C495" s="3">
        <v>118</v>
      </c>
      <c r="D495" s="3">
        <v>116</v>
      </c>
      <c r="E495" s="3">
        <v>117</v>
      </c>
      <c r="F495" s="4">
        <v>15733100</v>
      </c>
      <c r="G495" s="3">
        <v>117</v>
      </c>
      <c r="H495">
        <v>0</v>
      </c>
      <c r="I495">
        <v>115</v>
      </c>
      <c r="J495">
        <v>114</v>
      </c>
      <c r="K495">
        <v>121</v>
      </c>
      <c r="L495">
        <v>1</v>
      </c>
      <c r="M495">
        <v>2018</v>
      </c>
      <c r="N495">
        <v>10</v>
      </c>
      <c r="O495">
        <v>4</v>
      </c>
      <c r="P495">
        <v>4</v>
      </c>
      <c r="Q495" s="2" t="s">
        <v>17</v>
      </c>
    </row>
    <row r="496" spans="1:17" x14ac:dyDescent="0.3">
      <c r="A496" s="1">
        <v>43402</v>
      </c>
      <c r="B496" s="3">
        <v>116</v>
      </c>
      <c r="C496" s="3">
        <v>117</v>
      </c>
      <c r="D496" s="3">
        <v>116</v>
      </c>
      <c r="E496" s="3">
        <v>116</v>
      </c>
      <c r="F496" s="4">
        <v>8732500</v>
      </c>
      <c r="G496" s="3">
        <v>116</v>
      </c>
      <c r="H496">
        <v>0</v>
      </c>
      <c r="I496">
        <v>115</v>
      </c>
      <c r="J496">
        <v>114</v>
      </c>
      <c r="K496">
        <v>121</v>
      </c>
      <c r="L496">
        <v>1</v>
      </c>
      <c r="M496">
        <v>2018</v>
      </c>
      <c r="N496">
        <v>10</v>
      </c>
      <c r="O496">
        <v>0</v>
      </c>
      <c r="P496">
        <v>4</v>
      </c>
      <c r="Q496" s="2" t="s">
        <v>17</v>
      </c>
    </row>
    <row r="497" spans="1:17" x14ac:dyDescent="0.3">
      <c r="A497" s="1">
        <v>43403</v>
      </c>
      <c r="B497" s="3">
        <v>116</v>
      </c>
      <c r="C497" s="3">
        <v>116</v>
      </c>
      <c r="D497" s="3">
        <v>116</v>
      </c>
      <c r="E497" s="3">
        <v>116</v>
      </c>
      <c r="F497" s="4">
        <v>7233300</v>
      </c>
      <c r="G497" s="3">
        <v>116</v>
      </c>
      <c r="H497">
        <v>0</v>
      </c>
      <c r="I497">
        <v>115</v>
      </c>
      <c r="J497">
        <v>114</v>
      </c>
      <c r="K497">
        <v>121</v>
      </c>
      <c r="L497">
        <v>1</v>
      </c>
      <c r="M497">
        <v>2018</v>
      </c>
      <c r="N497">
        <v>10</v>
      </c>
      <c r="O497">
        <v>1</v>
      </c>
      <c r="P497">
        <v>4</v>
      </c>
      <c r="Q497" s="2" t="s">
        <v>17</v>
      </c>
    </row>
    <row r="498" spans="1:17" x14ac:dyDescent="0.3">
      <c r="A498" s="1">
        <v>43404</v>
      </c>
      <c r="B498" s="3">
        <v>115</v>
      </c>
      <c r="C498" s="3">
        <v>115</v>
      </c>
      <c r="D498" s="3">
        <v>115</v>
      </c>
      <c r="E498" s="3">
        <v>115</v>
      </c>
      <c r="F498" s="4">
        <v>11409300</v>
      </c>
      <c r="G498" s="3">
        <v>115</v>
      </c>
      <c r="H498">
        <v>-1</v>
      </c>
      <c r="I498">
        <v>115</v>
      </c>
      <c r="J498">
        <v>114</v>
      </c>
      <c r="K498">
        <v>121</v>
      </c>
      <c r="L498">
        <v>1</v>
      </c>
      <c r="M498">
        <v>2018</v>
      </c>
      <c r="N498">
        <v>10</v>
      </c>
      <c r="O498">
        <v>2</v>
      </c>
      <c r="P498">
        <v>4</v>
      </c>
      <c r="Q498" s="2" t="s">
        <v>17</v>
      </c>
    </row>
    <row r="499" spans="1:17" x14ac:dyDescent="0.3">
      <c r="A499" s="1">
        <v>43405</v>
      </c>
      <c r="B499" s="3">
        <v>117</v>
      </c>
      <c r="C499" s="3">
        <v>117</v>
      </c>
      <c r="D499" s="3">
        <v>116</v>
      </c>
      <c r="E499" s="3">
        <v>116</v>
      </c>
      <c r="F499" s="4">
        <v>13662900</v>
      </c>
      <c r="G499" s="3">
        <v>117</v>
      </c>
      <c r="H499">
        <v>1</v>
      </c>
      <c r="I499">
        <v>115</v>
      </c>
      <c r="J499">
        <v>114</v>
      </c>
      <c r="K499">
        <v>120</v>
      </c>
      <c r="L499">
        <v>1</v>
      </c>
      <c r="M499">
        <v>2018</v>
      </c>
      <c r="N499">
        <v>11</v>
      </c>
      <c r="O499">
        <v>3</v>
      </c>
      <c r="P499">
        <v>4</v>
      </c>
      <c r="Q499" s="2" t="s">
        <v>17</v>
      </c>
    </row>
    <row r="500" spans="1:17" x14ac:dyDescent="0.3">
      <c r="A500" s="1">
        <v>43406</v>
      </c>
      <c r="B500" s="3">
        <v>117</v>
      </c>
      <c r="C500" s="3">
        <v>117</v>
      </c>
      <c r="D500" s="3">
        <v>116</v>
      </c>
      <c r="E500" s="3">
        <v>117</v>
      </c>
      <c r="F500" s="4">
        <v>8796900</v>
      </c>
      <c r="G500" s="3">
        <v>117</v>
      </c>
      <c r="H500">
        <v>0</v>
      </c>
      <c r="I500">
        <v>116</v>
      </c>
      <c r="J500">
        <v>114</v>
      </c>
      <c r="K500">
        <v>120</v>
      </c>
      <c r="L500">
        <v>1</v>
      </c>
      <c r="M500">
        <v>2018</v>
      </c>
      <c r="N500">
        <v>11</v>
      </c>
      <c r="O500">
        <v>4</v>
      </c>
      <c r="P500">
        <v>4</v>
      </c>
      <c r="Q500" s="2" t="s">
        <v>17</v>
      </c>
    </row>
    <row r="501" spans="1:17" x14ac:dyDescent="0.3">
      <c r="A501" s="1">
        <v>43409</v>
      </c>
      <c r="B501" s="3">
        <v>116</v>
      </c>
      <c r="C501" s="3">
        <v>117</v>
      </c>
      <c r="D501" s="3">
        <v>116</v>
      </c>
      <c r="E501" s="3">
        <v>116</v>
      </c>
      <c r="F501" s="4">
        <v>6291500</v>
      </c>
      <c r="G501" s="3">
        <v>116</v>
      </c>
      <c r="H501">
        <v>0</v>
      </c>
      <c r="I501">
        <v>116</v>
      </c>
      <c r="J501">
        <v>114</v>
      </c>
      <c r="K501">
        <v>120</v>
      </c>
      <c r="L501">
        <v>1</v>
      </c>
      <c r="M501">
        <v>2018</v>
      </c>
      <c r="N501">
        <v>11</v>
      </c>
      <c r="O501">
        <v>0</v>
      </c>
      <c r="P501">
        <v>4</v>
      </c>
      <c r="Q501" s="2" t="s">
        <v>17</v>
      </c>
    </row>
    <row r="502" spans="1:17" x14ac:dyDescent="0.3">
      <c r="A502" s="1">
        <v>43410</v>
      </c>
      <c r="B502" s="3">
        <v>116</v>
      </c>
      <c r="C502" s="3">
        <v>117</v>
      </c>
      <c r="D502" s="3">
        <v>116</v>
      </c>
      <c r="E502" s="3">
        <v>116</v>
      </c>
      <c r="F502" s="4">
        <v>7270800</v>
      </c>
      <c r="G502" s="3">
        <v>116</v>
      </c>
      <c r="H502">
        <v>0</v>
      </c>
      <c r="I502">
        <v>116</v>
      </c>
      <c r="J502">
        <v>114</v>
      </c>
      <c r="K502">
        <v>120</v>
      </c>
      <c r="L502">
        <v>1</v>
      </c>
      <c r="M502">
        <v>2018</v>
      </c>
      <c r="N502">
        <v>11</v>
      </c>
      <c r="O502">
        <v>1</v>
      </c>
      <c r="P502">
        <v>4</v>
      </c>
      <c r="Q502" s="2" t="s">
        <v>17</v>
      </c>
    </row>
    <row r="503" spans="1:17" x14ac:dyDescent="0.3">
      <c r="A503" s="1">
        <v>43411</v>
      </c>
      <c r="B503" s="3">
        <v>116</v>
      </c>
      <c r="C503" s="3">
        <v>116</v>
      </c>
      <c r="D503" s="3">
        <v>116</v>
      </c>
      <c r="E503" s="3">
        <v>116</v>
      </c>
      <c r="F503" s="4">
        <v>8392100</v>
      </c>
      <c r="G503" s="3">
        <v>116</v>
      </c>
      <c r="H503">
        <v>0</v>
      </c>
      <c r="I503">
        <v>116</v>
      </c>
      <c r="J503">
        <v>114</v>
      </c>
      <c r="K503">
        <v>120</v>
      </c>
      <c r="L503">
        <v>1</v>
      </c>
      <c r="M503">
        <v>2018</v>
      </c>
      <c r="N503">
        <v>11</v>
      </c>
      <c r="O503">
        <v>2</v>
      </c>
      <c r="P503">
        <v>4</v>
      </c>
      <c r="Q503" s="2" t="s">
        <v>17</v>
      </c>
    </row>
    <row r="504" spans="1:17" x14ac:dyDescent="0.3">
      <c r="A504" s="1">
        <v>43412</v>
      </c>
      <c r="B504" s="3">
        <v>116</v>
      </c>
      <c r="C504" s="3">
        <v>116</v>
      </c>
      <c r="D504" s="3">
        <v>116</v>
      </c>
      <c r="E504" s="3">
        <v>116</v>
      </c>
      <c r="F504" s="4">
        <v>7638800</v>
      </c>
      <c r="G504" s="3">
        <v>116</v>
      </c>
      <c r="H504">
        <v>0</v>
      </c>
      <c r="I504">
        <v>116</v>
      </c>
      <c r="J504">
        <v>114</v>
      </c>
      <c r="K504">
        <v>120</v>
      </c>
      <c r="L504">
        <v>0</v>
      </c>
      <c r="M504">
        <v>2018</v>
      </c>
      <c r="N504">
        <v>11</v>
      </c>
      <c r="O504">
        <v>3</v>
      </c>
      <c r="P504">
        <v>4</v>
      </c>
      <c r="Q504" s="2" t="s">
        <v>17</v>
      </c>
    </row>
    <row r="505" spans="1:17" x14ac:dyDescent="0.3">
      <c r="A505" s="1">
        <v>43413</v>
      </c>
      <c r="B505" s="3">
        <v>114</v>
      </c>
      <c r="C505" s="3">
        <v>115</v>
      </c>
      <c r="D505" s="3">
        <v>114</v>
      </c>
      <c r="E505" s="3">
        <v>115</v>
      </c>
      <c r="F505" s="4">
        <v>14159200</v>
      </c>
      <c r="G505" s="3">
        <v>114</v>
      </c>
      <c r="H505">
        <v>-1</v>
      </c>
      <c r="I505">
        <v>116</v>
      </c>
      <c r="J505">
        <v>114</v>
      </c>
      <c r="K505">
        <v>120</v>
      </c>
      <c r="L505">
        <v>1</v>
      </c>
      <c r="M505">
        <v>2018</v>
      </c>
      <c r="N505">
        <v>11</v>
      </c>
      <c r="O505">
        <v>4</v>
      </c>
      <c r="P505">
        <v>4</v>
      </c>
      <c r="Q505" s="2" t="s">
        <v>17</v>
      </c>
    </row>
    <row r="506" spans="1:17" x14ac:dyDescent="0.3">
      <c r="A506" s="1">
        <v>43416</v>
      </c>
      <c r="B506" s="3">
        <v>114</v>
      </c>
      <c r="C506" s="3">
        <v>114</v>
      </c>
      <c r="D506" s="3">
        <v>114</v>
      </c>
      <c r="E506" s="3">
        <v>114</v>
      </c>
      <c r="F506" s="4">
        <v>7498600</v>
      </c>
      <c r="G506" s="3">
        <v>114</v>
      </c>
      <c r="H506">
        <v>-1</v>
      </c>
      <c r="I506">
        <v>116</v>
      </c>
      <c r="J506">
        <v>114</v>
      </c>
      <c r="K506">
        <v>120</v>
      </c>
      <c r="L506">
        <v>0</v>
      </c>
      <c r="M506">
        <v>2018</v>
      </c>
      <c r="N506">
        <v>11</v>
      </c>
      <c r="O506">
        <v>0</v>
      </c>
      <c r="P506">
        <v>4</v>
      </c>
      <c r="Q506" s="2" t="s">
        <v>17</v>
      </c>
    </row>
    <row r="507" spans="1:17" x14ac:dyDescent="0.3">
      <c r="A507" s="1">
        <v>43417</v>
      </c>
      <c r="B507" s="3">
        <v>114</v>
      </c>
      <c r="C507" s="3">
        <v>114</v>
      </c>
      <c r="D507" s="3">
        <v>113</v>
      </c>
      <c r="E507" s="3">
        <v>114</v>
      </c>
      <c r="F507" s="4">
        <v>9309000</v>
      </c>
      <c r="G507" s="3">
        <v>114</v>
      </c>
      <c r="H507">
        <v>0</v>
      </c>
      <c r="I507">
        <v>116</v>
      </c>
      <c r="J507">
        <v>115</v>
      </c>
      <c r="K507">
        <v>120</v>
      </c>
      <c r="L507">
        <v>0</v>
      </c>
      <c r="M507">
        <v>2018</v>
      </c>
      <c r="N507">
        <v>11</v>
      </c>
      <c r="O507">
        <v>1</v>
      </c>
      <c r="P507">
        <v>4</v>
      </c>
      <c r="Q507" s="2" t="s">
        <v>17</v>
      </c>
    </row>
    <row r="508" spans="1:17" x14ac:dyDescent="0.3">
      <c r="A508" s="1">
        <v>43418</v>
      </c>
      <c r="B508" s="3">
        <v>115</v>
      </c>
      <c r="C508" s="3">
        <v>115</v>
      </c>
      <c r="D508" s="3">
        <v>113</v>
      </c>
      <c r="E508" s="3">
        <v>114</v>
      </c>
      <c r="F508" s="4">
        <v>13950200</v>
      </c>
      <c r="G508" s="3">
        <v>115</v>
      </c>
      <c r="H508">
        <v>1</v>
      </c>
      <c r="I508">
        <v>116</v>
      </c>
      <c r="J508">
        <v>115</v>
      </c>
      <c r="K508">
        <v>120</v>
      </c>
      <c r="L508">
        <v>1</v>
      </c>
      <c r="M508">
        <v>2018</v>
      </c>
      <c r="N508">
        <v>11</v>
      </c>
      <c r="O508">
        <v>2</v>
      </c>
      <c r="P508">
        <v>4</v>
      </c>
      <c r="Q508" s="2" t="s">
        <v>17</v>
      </c>
    </row>
    <row r="509" spans="1:17" x14ac:dyDescent="0.3">
      <c r="A509" s="1">
        <v>43419</v>
      </c>
      <c r="B509" s="3">
        <v>115</v>
      </c>
      <c r="C509" s="3">
        <v>115</v>
      </c>
      <c r="D509" s="3">
        <v>115</v>
      </c>
      <c r="E509" s="3">
        <v>115</v>
      </c>
      <c r="F509" s="4">
        <v>8910600</v>
      </c>
      <c r="G509" s="3">
        <v>115</v>
      </c>
      <c r="H509">
        <v>0</v>
      </c>
      <c r="I509">
        <v>116</v>
      </c>
      <c r="J509">
        <v>115</v>
      </c>
      <c r="K509">
        <v>120</v>
      </c>
      <c r="L509">
        <v>1</v>
      </c>
      <c r="M509">
        <v>2018</v>
      </c>
      <c r="N509">
        <v>11</v>
      </c>
      <c r="O509">
        <v>3</v>
      </c>
      <c r="P509">
        <v>4</v>
      </c>
      <c r="Q509" s="2" t="s">
        <v>17</v>
      </c>
    </row>
    <row r="510" spans="1:17" x14ac:dyDescent="0.3">
      <c r="A510" s="1">
        <v>43420</v>
      </c>
      <c r="B510" s="3">
        <v>116</v>
      </c>
      <c r="C510" s="3">
        <v>116</v>
      </c>
      <c r="D510" s="3">
        <v>115</v>
      </c>
      <c r="E510" s="3">
        <v>116</v>
      </c>
      <c r="F510" s="4">
        <v>8577000</v>
      </c>
      <c r="G510" s="3">
        <v>116</v>
      </c>
      <c r="H510">
        <v>1</v>
      </c>
      <c r="I510">
        <v>116</v>
      </c>
      <c r="J510">
        <v>115</v>
      </c>
      <c r="K510">
        <v>120</v>
      </c>
      <c r="L510">
        <v>1</v>
      </c>
      <c r="M510">
        <v>2018</v>
      </c>
      <c r="N510">
        <v>11</v>
      </c>
      <c r="O510">
        <v>4</v>
      </c>
      <c r="P510">
        <v>4</v>
      </c>
      <c r="Q510" s="2" t="s">
        <v>17</v>
      </c>
    </row>
    <row r="511" spans="1:17" x14ac:dyDescent="0.3">
      <c r="A511" s="1">
        <v>43423</v>
      </c>
      <c r="B511" s="3">
        <v>116</v>
      </c>
      <c r="C511" s="3">
        <v>116</v>
      </c>
      <c r="D511" s="3">
        <v>115</v>
      </c>
      <c r="E511" s="3">
        <v>115</v>
      </c>
      <c r="F511" s="4">
        <v>8508300</v>
      </c>
      <c r="G511" s="3">
        <v>116</v>
      </c>
      <c r="H511">
        <v>0</v>
      </c>
      <c r="I511">
        <v>116</v>
      </c>
      <c r="J511">
        <v>115</v>
      </c>
      <c r="K511">
        <v>120</v>
      </c>
      <c r="L511">
        <v>1</v>
      </c>
      <c r="M511">
        <v>2018</v>
      </c>
      <c r="N511">
        <v>11</v>
      </c>
      <c r="O511">
        <v>0</v>
      </c>
      <c r="P511">
        <v>4</v>
      </c>
      <c r="Q511" s="2" t="s">
        <v>17</v>
      </c>
    </row>
    <row r="512" spans="1:17" x14ac:dyDescent="0.3">
      <c r="A512" s="1">
        <v>43424</v>
      </c>
      <c r="B512" s="3">
        <v>116</v>
      </c>
      <c r="C512" s="3">
        <v>116</v>
      </c>
      <c r="D512" s="3">
        <v>115</v>
      </c>
      <c r="E512" s="3">
        <v>116</v>
      </c>
      <c r="F512" s="4">
        <v>9075100</v>
      </c>
      <c r="G512" s="3">
        <v>116</v>
      </c>
      <c r="H512">
        <v>0</v>
      </c>
      <c r="I512">
        <v>116</v>
      </c>
      <c r="J512">
        <v>115</v>
      </c>
      <c r="K512">
        <v>120</v>
      </c>
      <c r="L512">
        <v>1</v>
      </c>
      <c r="M512">
        <v>2018</v>
      </c>
      <c r="N512">
        <v>11</v>
      </c>
      <c r="O512">
        <v>1</v>
      </c>
      <c r="P512">
        <v>4</v>
      </c>
      <c r="Q512" s="2" t="s">
        <v>17</v>
      </c>
    </row>
    <row r="513" spans="1:17" x14ac:dyDescent="0.3">
      <c r="A513" s="1">
        <v>43425</v>
      </c>
      <c r="B513" s="3">
        <v>116</v>
      </c>
      <c r="C513" s="3">
        <v>116</v>
      </c>
      <c r="D513" s="3">
        <v>116</v>
      </c>
      <c r="E513" s="3">
        <v>116</v>
      </c>
      <c r="F513" s="4">
        <v>8834200</v>
      </c>
      <c r="G513" s="3">
        <v>116</v>
      </c>
      <c r="H513">
        <v>0</v>
      </c>
      <c r="I513">
        <v>116</v>
      </c>
      <c r="J513">
        <v>115</v>
      </c>
      <c r="K513">
        <v>120</v>
      </c>
      <c r="L513">
        <v>1</v>
      </c>
      <c r="M513">
        <v>2018</v>
      </c>
      <c r="N513">
        <v>11</v>
      </c>
      <c r="O513">
        <v>2</v>
      </c>
      <c r="P513">
        <v>4</v>
      </c>
      <c r="Q513" s="2" t="s">
        <v>17</v>
      </c>
    </row>
    <row r="514" spans="1:17" x14ac:dyDescent="0.3">
      <c r="A514" s="1">
        <v>43427</v>
      </c>
      <c r="B514" s="3">
        <v>116</v>
      </c>
      <c r="C514" s="3">
        <v>116</v>
      </c>
      <c r="D514" s="3">
        <v>116</v>
      </c>
      <c r="E514" s="3">
        <v>116</v>
      </c>
      <c r="F514" s="4">
        <v>3726600</v>
      </c>
      <c r="G514" s="3">
        <v>116</v>
      </c>
      <c r="H514">
        <v>0</v>
      </c>
      <c r="I514">
        <v>116</v>
      </c>
      <c r="J514">
        <v>115</v>
      </c>
      <c r="K514">
        <v>120</v>
      </c>
      <c r="L514">
        <v>1</v>
      </c>
      <c r="M514">
        <v>2018</v>
      </c>
      <c r="N514">
        <v>11</v>
      </c>
      <c r="O514">
        <v>4</v>
      </c>
      <c r="P514">
        <v>4</v>
      </c>
      <c r="Q514" s="2" t="s">
        <v>17</v>
      </c>
    </row>
    <row r="515" spans="1:17" x14ac:dyDescent="0.3">
      <c r="A515" s="1">
        <v>43430</v>
      </c>
      <c r="B515" s="3">
        <v>116</v>
      </c>
      <c r="C515" s="3">
        <v>116</v>
      </c>
      <c r="D515" s="3">
        <v>116</v>
      </c>
      <c r="E515" s="3">
        <v>116</v>
      </c>
      <c r="F515" s="4">
        <v>4018600</v>
      </c>
      <c r="G515" s="3">
        <v>116</v>
      </c>
      <c r="H515">
        <v>0</v>
      </c>
      <c r="I515">
        <v>116</v>
      </c>
      <c r="J515">
        <v>115</v>
      </c>
      <c r="K515">
        <v>120</v>
      </c>
      <c r="L515">
        <v>1</v>
      </c>
      <c r="M515">
        <v>2018</v>
      </c>
      <c r="N515">
        <v>11</v>
      </c>
      <c r="O515">
        <v>0</v>
      </c>
      <c r="P515">
        <v>4</v>
      </c>
      <c r="Q515" s="2" t="s">
        <v>17</v>
      </c>
    </row>
    <row r="516" spans="1:17" x14ac:dyDescent="0.3">
      <c r="A516" s="1">
        <v>43431</v>
      </c>
      <c r="B516" s="3">
        <v>115</v>
      </c>
      <c r="C516" s="3">
        <v>116</v>
      </c>
      <c r="D516" s="3">
        <v>115</v>
      </c>
      <c r="E516" s="3">
        <v>116</v>
      </c>
      <c r="F516" s="4">
        <v>9671100</v>
      </c>
      <c r="G516" s="3">
        <v>115</v>
      </c>
      <c r="H516">
        <v>-1</v>
      </c>
      <c r="I516">
        <v>115</v>
      </c>
      <c r="J516">
        <v>115</v>
      </c>
      <c r="K516">
        <v>120</v>
      </c>
      <c r="L516">
        <v>1</v>
      </c>
      <c r="M516">
        <v>2018</v>
      </c>
      <c r="N516">
        <v>11</v>
      </c>
      <c r="O516">
        <v>1</v>
      </c>
      <c r="P516">
        <v>4</v>
      </c>
      <c r="Q516" s="2" t="s">
        <v>17</v>
      </c>
    </row>
    <row r="517" spans="1:17" x14ac:dyDescent="0.3">
      <c r="A517" s="1">
        <v>43432</v>
      </c>
      <c r="B517" s="3">
        <v>115</v>
      </c>
      <c r="C517" s="3">
        <v>116</v>
      </c>
      <c r="D517" s="3">
        <v>115</v>
      </c>
      <c r="E517" s="3">
        <v>115</v>
      </c>
      <c r="F517" s="4">
        <v>13788800</v>
      </c>
      <c r="G517" s="3">
        <v>115</v>
      </c>
      <c r="H517">
        <v>0</v>
      </c>
      <c r="I517">
        <v>115</v>
      </c>
      <c r="J517">
        <v>115</v>
      </c>
      <c r="K517">
        <v>119</v>
      </c>
      <c r="L517">
        <v>1</v>
      </c>
      <c r="M517">
        <v>2018</v>
      </c>
      <c r="N517">
        <v>11</v>
      </c>
      <c r="O517">
        <v>2</v>
      </c>
      <c r="P517">
        <v>4</v>
      </c>
      <c r="Q517" s="2" t="s">
        <v>17</v>
      </c>
    </row>
    <row r="518" spans="1:17" x14ac:dyDescent="0.3">
      <c r="A518" s="1">
        <v>43433</v>
      </c>
      <c r="B518" s="3">
        <v>116</v>
      </c>
      <c r="C518" s="3">
        <v>116</v>
      </c>
      <c r="D518" s="3">
        <v>116</v>
      </c>
      <c r="E518" s="3">
        <v>116</v>
      </c>
      <c r="F518" s="4">
        <v>6479300</v>
      </c>
      <c r="G518" s="3">
        <v>116</v>
      </c>
      <c r="H518">
        <v>0</v>
      </c>
      <c r="I518">
        <v>115</v>
      </c>
      <c r="J518">
        <v>115</v>
      </c>
      <c r="K518">
        <v>119</v>
      </c>
      <c r="L518">
        <v>1</v>
      </c>
      <c r="M518">
        <v>2018</v>
      </c>
      <c r="N518">
        <v>11</v>
      </c>
      <c r="O518">
        <v>3</v>
      </c>
      <c r="P518">
        <v>4</v>
      </c>
      <c r="Q518" s="2" t="s">
        <v>17</v>
      </c>
    </row>
    <row r="519" spans="1:17" x14ac:dyDescent="0.3">
      <c r="A519" s="1">
        <v>43434</v>
      </c>
      <c r="B519" s="3">
        <v>116</v>
      </c>
      <c r="C519" s="3">
        <v>116</v>
      </c>
      <c r="D519" s="3">
        <v>115</v>
      </c>
      <c r="E519" s="3">
        <v>115</v>
      </c>
      <c r="F519" s="4">
        <v>8169600</v>
      </c>
      <c r="G519" s="3">
        <v>116</v>
      </c>
      <c r="H519">
        <v>0</v>
      </c>
      <c r="I519">
        <v>115</v>
      </c>
      <c r="J519">
        <v>115</v>
      </c>
      <c r="K519">
        <v>119</v>
      </c>
      <c r="L519">
        <v>0</v>
      </c>
      <c r="M519">
        <v>2018</v>
      </c>
      <c r="N519">
        <v>11</v>
      </c>
      <c r="O519">
        <v>4</v>
      </c>
      <c r="P519">
        <v>4</v>
      </c>
      <c r="Q519" s="2" t="s">
        <v>17</v>
      </c>
    </row>
    <row r="520" spans="1:17" x14ac:dyDescent="0.3">
      <c r="A520" s="1">
        <v>43437</v>
      </c>
      <c r="B520" s="3">
        <v>116</v>
      </c>
      <c r="C520" s="3">
        <v>117</v>
      </c>
      <c r="D520" s="3">
        <v>116</v>
      </c>
      <c r="E520" s="3">
        <v>117</v>
      </c>
      <c r="F520" s="4">
        <v>8469500</v>
      </c>
      <c r="G520" s="3">
        <v>116</v>
      </c>
      <c r="H520">
        <v>1</v>
      </c>
      <c r="I520">
        <v>115</v>
      </c>
      <c r="J520">
        <v>115</v>
      </c>
      <c r="K520">
        <v>119</v>
      </c>
      <c r="L520">
        <v>0</v>
      </c>
      <c r="M520">
        <v>2018</v>
      </c>
      <c r="N520">
        <v>12</v>
      </c>
      <c r="O520">
        <v>0</v>
      </c>
      <c r="P520">
        <v>4</v>
      </c>
      <c r="Q520" s="2" t="s">
        <v>17</v>
      </c>
    </row>
    <row r="521" spans="1:17" x14ac:dyDescent="0.3">
      <c r="A521" s="1">
        <v>43438</v>
      </c>
      <c r="B521" s="3">
        <v>117</v>
      </c>
      <c r="C521" s="3">
        <v>117</v>
      </c>
      <c r="D521" s="3">
        <v>117</v>
      </c>
      <c r="E521" s="3">
        <v>117</v>
      </c>
      <c r="F521" s="4">
        <v>7186100</v>
      </c>
      <c r="G521" s="3">
        <v>117</v>
      </c>
      <c r="H521">
        <v>1</v>
      </c>
      <c r="I521">
        <v>115</v>
      </c>
      <c r="J521">
        <v>115</v>
      </c>
      <c r="K521">
        <v>119</v>
      </c>
      <c r="L521">
        <v>0</v>
      </c>
      <c r="M521">
        <v>2018</v>
      </c>
      <c r="N521">
        <v>12</v>
      </c>
      <c r="O521">
        <v>1</v>
      </c>
      <c r="P521">
        <v>4</v>
      </c>
      <c r="Q521" s="2" t="s">
        <v>17</v>
      </c>
    </row>
    <row r="522" spans="1:17" x14ac:dyDescent="0.3">
      <c r="A522" s="1">
        <v>43440</v>
      </c>
      <c r="B522" s="3">
        <v>117</v>
      </c>
      <c r="C522" s="3">
        <v>118</v>
      </c>
      <c r="D522" s="3">
        <v>117</v>
      </c>
      <c r="E522" s="3">
        <v>117</v>
      </c>
      <c r="F522" s="4">
        <v>9267600</v>
      </c>
      <c r="G522" s="3">
        <v>117</v>
      </c>
      <c r="H522">
        <v>0</v>
      </c>
      <c r="I522">
        <v>115</v>
      </c>
      <c r="J522">
        <v>115</v>
      </c>
      <c r="K522">
        <v>119</v>
      </c>
      <c r="L522">
        <v>0</v>
      </c>
      <c r="M522">
        <v>2018</v>
      </c>
      <c r="N522">
        <v>12</v>
      </c>
      <c r="O522">
        <v>3</v>
      </c>
      <c r="P522">
        <v>4</v>
      </c>
      <c r="Q522" s="2" t="s">
        <v>17</v>
      </c>
    </row>
    <row r="523" spans="1:17" x14ac:dyDescent="0.3">
      <c r="A523" s="1">
        <v>43441</v>
      </c>
      <c r="B523" s="3">
        <v>118</v>
      </c>
      <c r="C523" s="3">
        <v>118</v>
      </c>
      <c r="D523" s="3">
        <v>118</v>
      </c>
      <c r="E523" s="3">
        <v>118</v>
      </c>
      <c r="F523" s="4">
        <v>10402900</v>
      </c>
      <c r="G523" s="3">
        <v>118</v>
      </c>
      <c r="H523">
        <v>1</v>
      </c>
      <c r="I523">
        <v>116</v>
      </c>
      <c r="J523">
        <v>115</v>
      </c>
      <c r="K523">
        <v>119</v>
      </c>
      <c r="L523">
        <v>1</v>
      </c>
      <c r="M523">
        <v>2018</v>
      </c>
      <c r="N523">
        <v>12</v>
      </c>
      <c r="O523">
        <v>4</v>
      </c>
      <c r="P523">
        <v>4</v>
      </c>
      <c r="Q523" s="2" t="s">
        <v>17</v>
      </c>
    </row>
    <row r="524" spans="1:17" x14ac:dyDescent="0.3">
      <c r="A524" s="1">
        <v>43444</v>
      </c>
      <c r="B524" s="3">
        <v>118</v>
      </c>
      <c r="C524" s="3">
        <v>118</v>
      </c>
      <c r="D524" s="3">
        <v>117</v>
      </c>
      <c r="E524" s="3">
        <v>118</v>
      </c>
      <c r="F524" s="4">
        <v>8117900</v>
      </c>
      <c r="G524" s="3">
        <v>118</v>
      </c>
      <c r="H524">
        <v>0</v>
      </c>
      <c r="I524">
        <v>116</v>
      </c>
      <c r="J524">
        <v>115</v>
      </c>
      <c r="K524">
        <v>119</v>
      </c>
      <c r="L524">
        <v>1</v>
      </c>
      <c r="M524">
        <v>2018</v>
      </c>
      <c r="N524">
        <v>12</v>
      </c>
      <c r="O524">
        <v>0</v>
      </c>
      <c r="P524">
        <v>4</v>
      </c>
      <c r="Q524" s="2" t="s">
        <v>17</v>
      </c>
    </row>
    <row r="525" spans="1:17" x14ac:dyDescent="0.3">
      <c r="A525" s="1">
        <v>43445</v>
      </c>
      <c r="B525" s="3">
        <v>118</v>
      </c>
      <c r="C525" s="3">
        <v>118</v>
      </c>
      <c r="D525" s="3">
        <v>117</v>
      </c>
      <c r="E525" s="3">
        <v>118</v>
      </c>
      <c r="F525" s="4">
        <v>6395400</v>
      </c>
      <c r="G525" s="3">
        <v>118</v>
      </c>
      <c r="H525">
        <v>0</v>
      </c>
      <c r="I525">
        <v>116</v>
      </c>
      <c r="J525">
        <v>115</v>
      </c>
      <c r="K525">
        <v>119</v>
      </c>
      <c r="L525">
        <v>0</v>
      </c>
      <c r="M525">
        <v>2018</v>
      </c>
      <c r="N525">
        <v>12</v>
      </c>
      <c r="O525">
        <v>1</v>
      </c>
      <c r="P525">
        <v>4</v>
      </c>
      <c r="Q525" s="2" t="s">
        <v>17</v>
      </c>
    </row>
    <row r="526" spans="1:17" x14ac:dyDescent="0.3">
      <c r="A526" s="1">
        <v>43446</v>
      </c>
      <c r="B526" s="3">
        <v>118</v>
      </c>
      <c r="C526" s="3">
        <v>118</v>
      </c>
      <c r="D526" s="3">
        <v>118</v>
      </c>
      <c r="E526" s="3">
        <v>118</v>
      </c>
      <c r="F526" s="4">
        <v>4136800</v>
      </c>
      <c r="G526" s="3">
        <v>118</v>
      </c>
      <c r="H526">
        <v>0</v>
      </c>
      <c r="I526">
        <v>116</v>
      </c>
      <c r="J526">
        <v>116</v>
      </c>
      <c r="K526">
        <v>119</v>
      </c>
      <c r="L526">
        <v>0</v>
      </c>
      <c r="M526">
        <v>2018</v>
      </c>
      <c r="N526">
        <v>12</v>
      </c>
      <c r="O526">
        <v>2</v>
      </c>
      <c r="P526">
        <v>4</v>
      </c>
      <c r="Q526" s="2" t="s">
        <v>17</v>
      </c>
    </row>
    <row r="527" spans="1:17" x14ac:dyDescent="0.3">
      <c r="A527" s="1">
        <v>43447</v>
      </c>
      <c r="B527" s="3">
        <v>118</v>
      </c>
      <c r="C527" s="3">
        <v>118</v>
      </c>
      <c r="D527" s="3">
        <v>117</v>
      </c>
      <c r="E527" s="3">
        <v>118</v>
      </c>
      <c r="F527" s="4">
        <v>4131800</v>
      </c>
      <c r="G527" s="3">
        <v>118</v>
      </c>
      <c r="H527">
        <v>0</v>
      </c>
      <c r="I527">
        <v>116</v>
      </c>
      <c r="J527">
        <v>116</v>
      </c>
      <c r="K527">
        <v>119</v>
      </c>
      <c r="L527">
        <v>0</v>
      </c>
      <c r="M527">
        <v>2018</v>
      </c>
      <c r="N527">
        <v>12</v>
      </c>
      <c r="O527">
        <v>3</v>
      </c>
      <c r="P527">
        <v>4</v>
      </c>
      <c r="Q527" s="2" t="s">
        <v>17</v>
      </c>
    </row>
    <row r="528" spans="1:17" x14ac:dyDescent="0.3">
      <c r="A528" s="1">
        <v>43448</v>
      </c>
      <c r="B528" s="3">
        <v>117</v>
      </c>
      <c r="C528" s="3">
        <v>117</v>
      </c>
      <c r="D528" s="3">
        <v>117</v>
      </c>
      <c r="E528" s="3">
        <v>117</v>
      </c>
      <c r="F528" s="4">
        <v>7501700</v>
      </c>
      <c r="G528" s="3">
        <v>117</v>
      </c>
      <c r="H528">
        <v>0</v>
      </c>
      <c r="I528">
        <v>116</v>
      </c>
      <c r="J528">
        <v>116</v>
      </c>
      <c r="K528">
        <v>119</v>
      </c>
      <c r="L528">
        <v>0</v>
      </c>
      <c r="M528">
        <v>2018</v>
      </c>
      <c r="N528">
        <v>12</v>
      </c>
      <c r="O528">
        <v>4</v>
      </c>
      <c r="P528">
        <v>4</v>
      </c>
      <c r="Q528" s="2" t="s">
        <v>17</v>
      </c>
    </row>
    <row r="529" spans="1:17" x14ac:dyDescent="0.3">
      <c r="A529" s="1">
        <v>43451</v>
      </c>
      <c r="B529" s="3">
        <v>118</v>
      </c>
      <c r="C529" s="3">
        <v>118</v>
      </c>
      <c r="D529" s="3">
        <v>117</v>
      </c>
      <c r="E529" s="3">
        <v>117</v>
      </c>
      <c r="F529" s="4">
        <v>8454900</v>
      </c>
      <c r="G529" s="3">
        <v>118</v>
      </c>
      <c r="H529">
        <v>1</v>
      </c>
      <c r="I529">
        <v>117</v>
      </c>
      <c r="J529">
        <v>116</v>
      </c>
      <c r="K529">
        <v>119</v>
      </c>
      <c r="L529">
        <v>0</v>
      </c>
      <c r="M529">
        <v>2018</v>
      </c>
      <c r="N529">
        <v>12</v>
      </c>
      <c r="O529">
        <v>0</v>
      </c>
      <c r="P529">
        <v>4</v>
      </c>
      <c r="Q529" s="2" t="s">
        <v>17</v>
      </c>
    </row>
    <row r="530" spans="1:17" x14ac:dyDescent="0.3">
      <c r="A530" s="1">
        <v>43452</v>
      </c>
      <c r="B530" s="3">
        <v>118</v>
      </c>
      <c r="C530" s="3">
        <v>118</v>
      </c>
      <c r="D530" s="3">
        <v>118</v>
      </c>
      <c r="E530" s="3">
        <v>118</v>
      </c>
      <c r="F530" s="4">
        <v>7542900</v>
      </c>
      <c r="G530" s="3">
        <v>118</v>
      </c>
      <c r="H530">
        <v>0</v>
      </c>
      <c r="I530">
        <v>117</v>
      </c>
      <c r="J530">
        <v>116</v>
      </c>
      <c r="K530">
        <v>119</v>
      </c>
      <c r="L530">
        <v>0</v>
      </c>
      <c r="M530">
        <v>2018</v>
      </c>
      <c r="N530">
        <v>12</v>
      </c>
      <c r="O530">
        <v>1</v>
      </c>
      <c r="P530">
        <v>4</v>
      </c>
      <c r="Q530" s="2" t="s">
        <v>17</v>
      </c>
    </row>
    <row r="531" spans="1:17" x14ac:dyDescent="0.3">
      <c r="A531" s="1">
        <v>43453</v>
      </c>
      <c r="B531" s="3">
        <v>117</v>
      </c>
      <c r="C531" s="3">
        <v>119</v>
      </c>
      <c r="D531" s="3">
        <v>117</v>
      </c>
      <c r="E531" s="3">
        <v>118</v>
      </c>
      <c r="F531" s="4">
        <v>13827500</v>
      </c>
      <c r="G531" s="3">
        <v>117</v>
      </c>
      <c r="H531">
        <v>-1</v>
      </c>
      <c r="I531">
        <v>117</v>
      </c>
      <c r="J531">
        <v>116</v>
      </c>
      <c r="K531">
        <v>119</v>
      </c>
      <c r="L531">
        <v>0</v>
      </c>
      <c r="M531">
        <v>2018</v>
      </c>
      <c r="N531">
        <v>12</v>
      </c>
      <c r="O531">
        <v>2</v>
      </c>
      <c r="P531">
        <v>4</v>
      </c>
      <c r="Q531" s="2" t="s">
        <v>17</v>
      </c>
    </row>
    <row r="532" spans="1:17" x14ac:dyDescent="0.3">
      <c r="A532" s="1">
        <v>43454</v>
      </c>
      <c r="B532" s="3">
        <v>119</v>
      </c>
      <c r="C532" s="3">
        <v>120</v>
      </c>
      <c r="D532" s="3">
        <v>119</v>
      </c>
      <c r="E532" s="3">
        <v>119</v>
      </c>
      <c r="F532" s="4">
        <v>18615100</v>
      </c>
      <c r="G532" s="3">
        <v>119</v>
      </c>
      <c r="H532">
        <v>2</v>
      </c>
      <c r="I532">
        <v>117</v>
      </c>
      <c r="J532">
        <v>116</v>
      </c>
      <c r="K532">
        <v>119</v>
      </c>
      <c r="L532">
        <v>1</v>
      </c>
      <c r="M532">
        <v>2018</v>
      </c>
      <c r="N532">
        <v>12</v>
      </c>
      <c r="O532">
        <v>3</v>
      </c>
      <c r="P532">
        <v>4</v>
      </c>
      <c r="Q532" s="2" t="s">
        <v>17</v>
      </c>
    </row>
    <row r="533" spans="1:17" x14ac:dyDescent="0.3">
      <c r="A533" s="1">
        <v>43455</v>
      </c>
      <c r="B533" s="3">
        <v>119</v>
      </c>
      <c r="C533" s="3">
        <v>119</v>
      </c>
      <c r="D533" s="3">
        <v>119</v>
      </c>
      <c r="E533" s="3">
        <v>119</v>
      </c>
      <c r="F533" s="4">
        <v>13629800</v>
      </c>
      <c r="G533" s="3">
        <v>119</v>
      </c>
      <c r="H533">
        <v>0</v>
      </c>
      <c r="I533">
        <v>117</v>
      </c>
      <c r="J533">
        <v>116</v>
      </c>
      <c r="K533">
        <v>119</v>
      </c>
      <c r="L533">
        <v>1</v>
      </c>
      <c r="M533">
        <v>2018</v>
      </c>
      <c r="N533">
        <v>12</v>
      </c>
      <c r="O533">
        <v>4</v>
      </c>
      <c r="P533">
        <v>4</v>
      </c>
      <c r="Q533" s="2" t="s">
        <v>17</v>
      </c>
    </row>
    <row r="534" spans="1:17" x14ac:dyDescent="0.3">
      <c r="A534" s="1">
        <v>43458</v>
      </c>
      <c r="B534" s="3">
        <v>120</v>
      </c>
      <c r="C534" s="3">
        <v>120</v>
      </c>
      <c r="D534" s="3">
        <v>120</v>
      </c>
      <c r="E534" s="3">
        <v>120</v>
      </c>
      <c r="F534" s="4">
        <v>9736400</v>
      </c>
      <c r="G534" s="3">
        <v>120</v>
      </c>
      <c r="H534">
        <v>1</v>
      </c>
      <c r="I534">
        <v>117</v>
      </c>
      <c r="J534">
        <v>116</v>
      </c>
      <c r="K534">
        <v>119</v>
      </c>
      <c r="L534">
        <v>1</v>
      </c>
      <c r="M534">
        <v>2018</v>
      </c>
      <c r="N534">
        <v>12</v>
      </c>
      <c r="O534">
        <v>0</v>
      </c>
      <c r="P534">
        <v>4</v>
      </c>
      <c r="Q534" s="2" t="s">
        <v>17</v>
      </c>
    </row>
    <row r="535" spans="1:17" x14ac:dyDescent="0.3">
      <c r="A535" s="1">
        <v>43460</v>
      </c>
      <c r="B535" s="3">
        <v>120</v>
      </c>
      <c r="C535" s="3">
        <v>121</v>
      </c>
      <c r="D535" s="3">
        <v>120</v>
      </c>
      <c r="E535" s="3">
        <v>121</v>
      </c>
      <c r="F535" s="4">
        <v>14293500</v>
      </c>
      <c r="G535" s="3">
        <v>120</v>
      </c>
      <c r="H535">
        <v>0</v>
      </c>
      <c r="I535">
        <v>117</v>
      </c>
      <c r="J535">
        <v>116</v>
      </c>
      <c r="K535">
        <v>119</v>
      </c>
      <c r="L535">
        <v>1</v>
      </c>
      <c r="M535">
        <v>2018</v>
      </c>
      <c r="N535">
        <v>12</v>
      </c>
      <c r="O535">
        <v>2</v>
      </c>
      <c r="P535">
        <v>4</v>
      </c>
      <c r="Q535" s="2" t="s">
        <v>17</v>
      </c>
    </row>
    <row r="536" spans="1:17" x14ac:dyDescent="0.3">
      <c r="A536" s="1">
        <v>43461</v>
      </c>
      <c r="B536" s="3">
        <v>121</v>
      </c>
      <c r="C536" s="3">
        <v>121</v>
      </c>
      <c r="D536" s="3">
        <v>120</v>
      </c>
      <c r="E536" s="3">
        <v>121</v>
      </c>
      <c r="F536" s="4">
        <v>11874400</v>
      </c>
      <c r="G536" s="3">
        <v>121</v>
      </c>
      <c r="H536">
        <v>1</v>
      </c>
      <c r="I536">
        <v>118</v>
      </c>
      <c r="J536">
        <v>117</v>
      </c>
      <c r="K536">
        <v>119</v>
      </c>
      <c r="L536">
        <v>1</v>
      </c>
      <c r="M536">
        <v>2018</v>
      </c>
      <c r="N536">
        <v>12</v>
      </c>
      <c r="O536">
        <v>3</v>
      </c>
      <c r="P536">
        <v>4</v>
      </c>
      <c r="Q536" s="2" t="s">
        <v>17</v>
      </c>
    </row>
    <row r="537" spans="1:17" x14ac:dyDescent="0.3">
      <c r="A537" s="1">
        <v>43462</v>
      </c>
      <c r="B537" s="3">
        <v>121</v>
      </c>
      <c r="C537" s="3">
        <v>121</v>
      </c>
      <c r="D537" s="3">
        <v>121</v>
      </c>
      <c r="E537" s="3">
        <v>121</v>
      </c>
      <c r="F537" s="4">
        <v>6864700</v>
      </c>
      <c r="G537" s="3">
        <v>121</v>
      </c>
      <c r="H537">
        <v>0</v>
      </c>
      <c r="I537">
        <v>118</v>
      </c>
      <c r="J537">
        <v>117</v>
      </c>
      <c r="K537">
        <v>119</v>
      </c>
      <c r="L537">
        <v>1</v>
      </c>
      <c r="M537">
        <v>2018</v>
      </c>
      <c r="N537">
        <v>12</v>
      </c>
      <c r="O537">
        <v>4</v>
      </c>
      <c r="P537">
        <v>4</v>
      </c>
      <c r="Q537" s="2" t="s">
        <v>17</v>
      </c>
    </row>
    <row r="538" spans="1:17" x14ac:dyDescent="0.3">
      <c r="A538" s="1">
        <v>43465</v>
      </c>
      <c r="B538" s="3">
        <v>121</v>
      </c>
      <c r="C538" s="3">
        <v>121</v>
      </c>
      <c r="D538" s="3">
        <v>121</v>
      </c>
      <c r="E538" s="3">
        <v>121</v>
      </c>
      <c r="F538" s="4">
        <v>8449400</v>
      </c>
      <c r="G538" s="3">
        <v>121</v>
      </c>
      <c r="H538">
        <v>0</v>
      </c>
      <c r="I538">
        <v>118</v>
      </c>
      <c r="J538">
        <v>117</v>
      </c>
      <c r="K538">
        <v>119</v>
      </c>
      <c r="L538">
        <v>1</v>
      </c>
      <c r="M538">
        <v>2018</v>
      </c>
      <c r="N538">
        <v>12</v>
      </c>
      <c r="O538">
        <v>0</v>
      </c>
      <c r="P538">
        <v>4</v>
      </c>
      <c r="Q538" s="2" t="s">
        <v>17</v>
      </c>
    </row>
    <row r="539" spans="1:17" x14ac:dyDescent="0.3">
      <c r="A539" s="1">
        <v>43467</v>
      </c>
      <c r="B539" s="3">
        <v>121</v>
      </c>
      <c r="C539" s="3">
        <v>122</v>
      </c>
      <c r="D539" s="3">
        <v>121</v>
      </c>
      <c r="E539" s="3">
        <v>121</v>
      </c>
      <c r="F539" s="4">
        <v>12776200</v>
      </c>
      <c r="G539" s="3">
        <v>121</v>
      </c>
      <c r="H539">
        <v>0</v>
      </c>
      <c r="I539">
        <v>119</v>
      </c>
      <c r="J539">
        <v>117</v>
      </c>
      <c r="K539">
        <v>119</v>
      </c>
      <c r="L539">
        <v>1</v>
      </c>
      <c r="M539">
        <v>2019</v>
      </c>
      <c r="N539">
        <v>1</v>
      </c>
      <c r="O539">
        <v>2</v>
      </c>
      <c r="P539">
        <v>1</v>
      </c>
      <c r="Q539" s="2" t="s">
        <v>17</v>
      </c>
    </row>
    <row r="540" spans="1:17" x14ac:dyDescent="0.3">
      <c r="A540" s="1">
        <v>43468</v>
      </c>
      <c r="B540" s="3">
        <v>122</v>
      </c>
      <c r="C540" s="3">
        <v>122</v>
      </c>
      <c r="D540" s="3">
        <v>122</v>
      </c>
      <c r="E540" s="3">
        <v>122</v>
      </c>
      <c r="F540" s="4">
        <v>15440800</v>
      </c>
      <c r="G540" s="3">
        <v>122</v>
      </c>
      <c r="H540">
        <v>1</v>
      </c>
      <c r="I540">
        <v>119</v>
      </c>
      <c r="J540">
        <v>117</v>
      </c>
      <c r="K540">
        <v>119</v>
      </c>
      <c r="L540">
        <v>1</v>
      </c>
      <c r="M540">
        <v>2019</v>
      </c>
      <c r="N540">
        <v>1</v>
      </c>
      <c r="O540">
        <v>3</v>
      </c>
      <c r="P540">
        <v>1</v>
      </c>
      <c r="Q540" s="2" t="s">
        <v>17</v>
      </c>
    </row>
    <row r="541" spans="1:17" x14ac:dyDescent="0.3">
      <c r="A541" s="1">
        <v>43469</v>
      </c>
      <c r="B541" s="3">
        <v>121</v>
      </c>
      <c r="C541" s="3">
        <v>122</v>
      </c>
      <c r="D541" s="3">
        <v>121</v>
      </c>
      <c r="E541" s="3">
        <v>121</v>
      </c>
      <c r="F541" s="4">
        <v>13334000</v>
      </c>
      <c r="G541" s="3">
        <v>121</v>
      </c>
      <c r="H541">
        <v>-1</v>
      </c>
      <c r="I541">
        <v>119</v>
      </c>
      <c r="J541">
        <v>117</v>
      </c>
      <c r="K541">
        <v>119</v>
      </c>
      <c r="L541">
        <v>1</v>
      </c>
      <c r="M541">
        <v>2019</v>
      </c>
      <c r="N541">
        <v>1</v>
      </c>
      <c r="O541">
        <v>4</v>
      </c>
      <c r="P541">
        <v>1</v>
      </c>
      <c r="Q541" s="2" t="s">
        <v>17</v>
      </c>
    </row>
    <row r="542" spans="1:17" x14ac:dyDescent="0.3">
      <c r="A542" s="1">
        <v>43472</v>
      </c>
      <c r="B542" s="3">
        <v>122</v>
      </c>
      <c r="C542" s="3">
        <v>122</v>
      </c>
      <c r="D542" s="3">
        <v>122</v>
      </c>
      <c r="E542" s="3">
        <v>122</v>
      </c>
      <c r="F542" s="4">
        <v>7473600</v>
      </c>
      <c r="G542" s="3">
        <v>122</v>
      </c>
      <c r="H542">
        <v>0</v>
      </c>
      <c r="I542">
        <v>119</v>
      </c>
      <c r="J542">
        <v>117</v>
      </c>
      <c r="K542">
        <v>119</v>
      </c>
      <c r="L542">
        <v>1</v>
      </c>
      <c r="M542">
        <v>2019</v>
      </c>
      <c r="N542">
        <v>1</v>
      </c>
      <c r="O542">
        <v>0</v>
      </c>
      <c r="P542">
        <v>1</v>
      </c>
      <c r="Q542" s="2" t="s">
        <v>17</v>
      </c>
    </row>
    <row r="543" spans="1:17" x14ac:dyDescent="0.3">
      <c r="A543" s="1">
        <v>43473</v>
      </c>
      <c r="B543" s="3">
        <v>122</v>
      </c>
      <c r="C543" s="3">
        <v>122</v>
      </c>
      <c r="D543" s="3">
        <v>121</v>
      </c>
      <c r="E543" s="3">
        <v>121</v>
      </c>
      <c r="F543" s="4">
        <v>7643100</v>
      </c>
      <c r="G543" s="3">
        <v>122</v>
      </c>
      <c r="H543">
        <v>0</v>
      </c>
      <c r="I543">
        <v>120</v>
      </c>
      <c r="J543">
        <v>117</v>
      </c>
      <c r="K543">
        <v>119</v>
      </c>
      <c r="L543">
        <v>1</v>
      </c>
      <c r="M543">
        <v>2019</v>
      </c>
      <c r="N543">
        <v>1</v>
      </c>
      <c r="O543">
        <v>1</v>
      </c>
      <c r="P543">
        <v>1</v>
      </c>
      <c r="Q543" s="2" t="s">
        <v>17</v>
      </c>
    </row>
    <row r="544" spans="1:17" x14ac:dyDescent="0.3">
      <c r="A544" s="1">
        <v>43474</v>
      </c>
      <c r="B544" s="3">
        <v>122</v>
      </c>
      <c r="C544" s="3">
        <v>122</v>
      </c>
      <c r="D544" s="3">
        <v>121</v>
      </c>
      <c r="E544" s="3">
        <v>121</v>
      </c>
      <c r="F544" s="4">
        <v>10555900</v>
      </c>
      <c r="G544" s="3">
        <v>122</v>
      </c>
      <c r="H544">
        <v>1</v>
      </c>
      <c r="I544">
        <v>120</v>
      </c>
      <c r="J544">
        <v>117</v>
      </c>
      <c r="K544">
        <v>119</v>
      </c>
      <c r="L544">
        <v>1</v>
      </c>
      <c r="M544">
        <v>2019</v>
      </c>
      <c r="N544">
        <v>1</v>
      </c>
      <c r="O544">
        <v>2</v>
      </c>
      <c r="P544">
        <v>1</v>
      </c>
      <c r="Q544" s="2" t="s">
        <v>17</v>
      </c>
    </row>
    <row r="545" spans="1:17" x14ac:dyDescent="0.3">
      <c r="A545" s="1">
        <v>43475</v>
      </c>
      <c r="B545" s="3">
        <v>122</v>
      </c>
      <c r="C545" s="3">
        <v>122</v>
      </c>
      <c r="D545" s="3">
        <v>122</v>
      </c>
      <c r="E545" s="3">
        <v>122</v>
      </c>
      <c r="F545" s="4">
        <v>6672000</v>
      </c>
      <c r="G545" s="3">
        <v>122</v>
      </c>
      <c r="H545">
        <v>-1</v>
      </c>
      <c r="I545">
        <v>120</v>
      </c>
      <c r="J545">
        <v>117</v>
      </c>
      <c r="K545">
        <v>119</v>
      </c>
      <c r="L545">
        <v>1</v>
      </c>
      <c r="M545">
        <v>2019</v>
      </c>
      <c r="N545">
        <v>1</v>
      </c>
      <c r="O545">
        <v>3</v>
      </c>
      <c r="P545">
        <v>1</v>
      </c>
      <c r="Q545" s="2" t="s">
        <v>17</v>
      </c>
    </row>
    <row r="546" spans="1:17" x14ac:dyDescent="0.3">
      <c r="A546" s="1">
        <v>43476</v>
      </c>
      <c r="B546" s="3">
        <v>122</v>
      </c>
      <c r="C546" s="3">
        <v>122</v>
      </c>
      <c r="D546" s="3">
        <v>122</v>
      </c>
      <c r="E546" s="3">
        <v>122</v>
      </c>
      <c r="F546" s="4">
        <v>8622400</v>
      </c>
      <c r="G546" s="3">
        <v>122</v>
      </c>
      <c r="H546">
        <v>0</v>
      </c>
      <c r="I546">
        <v>120</v>
      </c>
      <c r="J546">
        <v>118</v>
      </c>
      <c r="K546">
        <v>118</v>
      </c>
      <c r="L546">
        <v>1</v>
      </c>
      <c r="M546">
        <v>2019</v>
      </c>
      <c r="N546">
        <v>1</v>
      </c>
      <c r="O546">
        <v>4</v>
      </c>
      <c r="P546">
        <v>1</v>
      </c>
      <c r="Q546" s="2" t="s">
        <v>17</v>
      </c>
    </row>
    <row r="547" spans="1:17" x14ac:dyDescent="0.3">
      <c r="A547" s="1">
        <v>43479</v>
      </c>
      <c r="B547" s="3">
        <v>122</v>
      </c>
      <c r="C547" s="3">
        <v>122</v>
      </c>
      <c r="D547" s="3">
        <v>122</v>
      </c>
      <c r="E547" s="3">
        <v>122</v>
      </c>
      <c r="F547" s="4">
        <v>6477100</v>
      </c>
      <c r="G547" s="3">
        <v>122</v>
      </c>
      <c r="H547">
        <v>0</v>
      </c>
      <c r="I547">
        <v>120</v>
      </c>
      <c r="J547">
        <v>118</v>
      </c>
      <c r="K547">
        <v>118</v>
      </c>
      <c r="L547">
        <v>1</v>
      </c>
      <c r="M547">
        <v>2019</v>
      </c>
      <c r="N547">
        <v>1</v>
      </c>
      <c r="O547">
        <v>0</v>
      </c>
      <c r="P547">
        <v>1</v>
      </c>
      <c r="Q547" s="2" t="s">
        <v>17</v>
      </c>
    </row>
    <row r="548" spans="1:17" x14ac:dyDescent="0.3">
      <c r="A548" s="1">
        <v>43480</v>
      </c>
      <c r="B548" s="3">
        <v>122</v>
      </c>
      <c r="C548" s="3">
        <v>122</v>
      </c>
      <c r="D548" s="3">
        <v>122</v>
      </c>
      <c r="E548" s="3">
        <v>122</v>
      </c>
      <c r="F548" s="4">
        <v>7512500</v>
      </c>
      <c r="G548" s="3">
        <v>122</v>
      </c>
      <c r="H548">
        <v>0</v>
      </c>
      <c r="I548">
        <v>121</v>
      </c>
      <c r="J548">
        <v>118</v>
      </c>
      <c r="K548">
        <v>118</v>
      </c>
      <c r="L548">
        <v>1</v>
      </c>
      <c r="M548">
        <v>2019</v>
      </c>
      <c r="N548">
        <v>1</v>
      </c>
      <c r="O548">
        <v>1</v>
      </c>
      <c r="P548">
        <v>1</v>
      </c>
      <c r="Q548" s="2" t="s">
        <v>17</v>
      </c>
    </row>
    <row r="549" spans="1:17" x14ac:dyDescent="0.3">
      <c r="A549" s="1">
        <v>43481</v>
      </c>
      <c r="B549" s="3">
        <v>122</v>
      </c>
      <c r="C549" s="3">
        <v>122</v>
      </c>
      <c r="D549" s="3">
        <v>122</v>
      </c>
      <c r="E549" s="3">
        <v>122</v>
      </c>
      <c r="F549" s="4">
        <v>6878100</v>
      </c>
      <c r="G549" s="3">
        <v>122</v>
      </c>
      <c r="H549">
        <v>0</v>
      </c>
      <c r="I549">
        <v>121</v>
      </c>
      <c r="J549">
        <v>118</v>
      </c>
      <c r="K549">
        <v>118</v>
      </c>
      <c r="L549">
        <v>1</v>
      </c>
      <c r="M549">
        <v>2019</v>
      </c>
      <c r="N549">
        <v>1</v>
      </c>
      <c r="O549">
        <v>2</v>
      </c>
      <c r="P549">
        <v>1</v>
      </c>
      <c r="Q549" s="2" t="s">
        <v>17</v>
      </c>
    </row>
    <row r="550" spans="1:17" x14ac:dyDescent="0.3">
      <c r="A550" s="1">
        <v>43482</v>
      </c>
      <c r="B550" s="3">
        <v>122</v>
      </c>
      <c r="C550" s="3">
        <v>122</v>
      </c>
      <c r="D550" s="3">
        <v>122</v>
      </c>
      <c r="E550" s="3">
        <v>122</v>
      </c>
      <c r="F550" s="4">
        <v>8558500</v>
      </c>
      <c r="G550" s="3">
        <v>122</v>
      </c>
      <c r="H550">
        <v>0</v>
      </c>
      <c r="I550">
        <v>121</v>
      </c>
      <c r="J550">
        <v>118</v>
      </c>
      <c r="K550">
        <v>118</v>
      </c>
      <c r="L550">
        <v>1</v>
      </c>
      <c r="M550">
        <v>2019</v>
      </c>
      <c r="N550">
        <v>1</v>
      </c>
      <c r="O550">
        <v>3</v>
      </c>
      <c r="P550">
        <v>1</v>
      </c>
      <c r="Q550" s="2" t="s">
        <v>17</v>
      </c>
    </row>
    <row r="551" spans="1:17" x14ac:dyDescent="0.3">
      <c r="A551" s="1">
        <v>43483</v>
      </c>
      <c r="B551" s="3">
        <v>121</v>
      </c>
      <c r="C551" s="3">
        <v>122</v>
      </c>
      <c r="D551" s="3">
        <v>121</v>
      </c>
      <c r="E551" s="3">
        <v>121</v>
      </c>
      <c r="F551" s="4">
        <v>10896000</v>
      </c>
      <c r="G551" s="3">
        <v>121</v>
      </c>
      <c r="H551">
        <v>-1</v>
      </c>
      <c r="I551">
        <v>121</v>
      </c>
      <c r="J551">
        <v>118</v>
      </c>
      <c r="K551">
        <v>118</v>
      </c>
      <c r="L551">
        <v>1</v>
      </c>
      <c r="M551">
        <v>2019</v>
      </c>
      <c r="N551">
        <v>1</v>
      </c>
      <c r="O551">
        <v>4</v>
      </c>
      <c r="P551">
        <v>1</v>
      </c>
      <c r="Q551" s="2" t="s">
        <v>17</v>
      </c>
    </row>
    <row r="552" spans="1:17" x14ac:dyDescent="0.3">
      <c r="A552" s="1">
        <v>43487</v>
      </c>
      <c r="B552" s="3">
        <v>121</v>
      </c>
      <c r="C552" s="3">
        <v>122</v>
      </c>
      <c r="D552" s="3">
        <v>121</v>
      </c>
      <c r="E552" s="3">
        <v>121</v>
      </c>
      <c r="F552" s="4">
        <v>7896500</v>
      </c>
      <c r="G552" s="3">
        <v>121</v>
      </c>
      <c r="H552">
        <v>0</v>
      </c>
      <c r="I552">
        <v>121</v>
      </c>
      <c r="J552">
        <v>118</v>
      </c>
      <c r="K552">
        <v>118</v>
      </c>
      <c r="L552">
        <v>1</v>
      </c>
      <c r="M552">
        <v>2019</v>
      </c>
      <c r="N552">
        <v>1</v>
      </c>
      <c r="O552">
        <v>1</v>
      </c>
      <c r="P552">
        <v>1</v>
      </c>
      <c r="Q552" s="2" t="s">
        <v>17</v>
      </c>
    </row>
    <row r="553" spans="1:17" x14ac:dyDescent="0.3">
      <c r="A553" s="1">
        <v>43488</v>
      </c>
      <c r="B553" s="3">
        <v>121</v>
      </c>
      <c r="C553" s="3">
        <v>122</v>
      </c>
      <c r="D553" s="3">
        <v>121</v>
      </c>
      <c r="E553" s="3">
        <v>121</v>
      </c>
      <c r="F553" s="4">
        <v>5224900</v>
      </c>
      <c r="G553" s="3">
        <v>121</v>
      </c>
      <c r="H553">
        <v>0</v>
      </c>
      <c r="I553">
        <v>121</v>
      </c>
      <c r="J553">
        <v>118</v>
      </c>
      <c r="K553">
        <v>118</v>
      </c>
      <c r="L553">
        <v>1</v>
      </c>
      <c r="M553">
        <v>2019</v>
      </c>
      <c r="N553">
        <v>1</v>
      </c>
      <c r="O553">
        <v>2</v>
      </c>
      <c r="P553">
        <v>1</v>
      </c>
      <c r="Q553" s="2" t="s">
        <v>17</v>
      </c>
    </row>
    <row r="554" spans="1:17" x14ac:dyDescent="0.3">
      <c r="A554" s="1">
        <v>43489</v>
      </c>
      <c r="B554" s="3">
        <v>121</v>
      </c>
      <c r="C554" s="3">
        <v>121</v>
      </c>
      <c r="D554" s="3">
        <v>121</v>
      </c>
      <c r="E554" s="3">
        <v>121</v>
      </c>
      <c r="F554" s="4">
        <v>5662500</v>
      </c>
      <c r="G554" s="3">
        <v>121</v>
      </c>
      <c r="H554">
        <v>0</v>
      </c>
      <c r="I554">
        <v>122</v>
      </c>
      <c r="J554">
        <v>118</v>
      </c>
      <c r="K554">
        <v>118</v>
      </c>
      <c r="L554">
        <v>0</v>
      </c>
      <c r="M554">
        <v>2019</v>
      </c>
      <c r="N554">
        <v>1</v>
      </c>
      <c r="O554">
        <v>3</v>
      </c>
      <c r="P554">
        <v>1</v>
      </c>
      <c r="Q554" s="2" t="s">
        <v>17</v>
      </c>
    </row>
    <row r="555" spans="1:17" x14ac:dyDescent="0.3">
      <c r="A555" s="1">
        <v>43490</v>
      </c>
      <c r="B555" s="3">
        <v>123</v>
      </c>
      <c r="C555" s="3">
        <v>123</v>
      </c>
      <c r="D555" s="3">
        <v>122</v>
      </c>
      <c r="E555" s="3">
        <v>122</v>
      </c>
      <c r="F555" s="4">
        <v>11103300</v>
      </c>
      <c r="G555" s="3">
        <v>123</v>
      </c>
      <c r="H555">
        <v>1</v>
      </c>
      <c r="I555">
        <v>122</v>
      </c>
      <c r="J555">
        <v>119</v>
      </c>
      <c r="K555">
        <v>118</v>
      </c>
      <c r="L555">
        <v>1</v>
      </c>
      <c r="M555">
        <v>2019</v>
      </c>
      <c r="N555">
        <v>1</v>
      </c>
      <c r="O555">
        <v>4</v>
      </c>
      <c r="P555">
        <v>1</v>
      </c>
      <c r="Q555" s="2" t="s">
        <v>19</v>
      </c>
    </row>
    <row r="556" spans="1:17" x14ac:dyDescent="0.3">
      <c r="A556" s="1">
        <v>43493</v>
      </c>
      <c r="B556" s="3">
        <v>123</v>
      </c>
      <c r="C556" s="3">
        <v>123</v>
      </c>
      <c r="D556" s="3">
        <v>123</v>
      </c>
      <c r="E556" s="3">
        <v>123</v>
      </c>
      <c r="F556" s="4">
        <v>8522200</v>
      </c>
      <c r="G556" s="3">
        <v>123</v>
      </c>
      <c r="H556">
        <v>0</v>
      </c>
      <c r="I556">
        <v>122</v>
      </c>
      <c r="J556">
        <v>119</v>
      </c>
      <c r="K556">
        <v>118</v>
      </c>
      <c r="L556">
        <v>1</v>
      </c>
      <c r="M556">
        <v>2019</v>
      </c>
      <c r="N556">
        <v>1</v>
      </c>
      <c r="O556">
        <v>0</v>
      </c>
      <c r="P556">
        <v>1</v>
      </c>
      <c r="Q556" s="2" t="s">
        <v>17</v>
      </c>
    </row>
    <row r="557" spans="1:17" x14ac:dyDescent="0.3">
      <c r="A557" s="1">
        <v>43494</v>
      </c>
      <c r="B557" s="3">
        <v>124</v>
      </c>
      <c r="C557" s="3">
        <v>124</v>
      </c>
      <c r="D557" s="3">
        <v>123</v>
      </c>
      <c r="E557" s="3">
        <v>124</v>
      </c>
      <c r="F557" s="4">
        <v>11610200</v>
      </c>
      <c r="G557" s="3">
        <v>124</v>
      </c>
      <c r="H557">
        <v>1</v>
      </c>
      <c r="I557">
        <v>122</v>
      </c>
      <c r="J557">
        <v>119</v>
      </c>
      <c r="K557">
        <v>118</v>
      </c>
      <c r="L557">
        <v>1</v>
      </c>
      <c r="M557">
        <v>2019</v>
      </c>
      <c r="N557">
        <v>1</v>
      </c>
      <c r="O557">
        <v>1</v>
      </c>
      <c r="P557">
        <v>1</v>
      </c>
      <c r="Q557" s="2" t="s">
        <v>17</v>
      </c>
    </row>
    <row r="558" spans="1:17" x14ac:dyDescent="0.3">
      <c r="A558" s="1">
        <v>43495</v>
      </c>
      <c r="B558" s="3">
        <v>125</v>
      </c>
      <c r="C558" s="3">
        <v>125</v>
      </c>
      <c r="D558" s="3">
        <v>124</v>
      </c>
      <c r="E558" s="3">
        <v>124</v>
      </c>
      <c r="F558" s="4">
        <v>12104000</v>
      </c>
      <c r="G558" s="3">
        <v>125</v>
      </c>
      <c r="H558">
        <v>1</v>
      </c>
      <c r="I558">
        <v>122</v>
      </c>
      <c r="J558">
        <v>119</v>
      </c>
      <c r="K558">
        <v>118</v>
      </c>
      <c r="L558">
        <v>1</v>
      </c>
      <c r="M558">
        <v>2019</v>
      </c>
      <c r="N558">
        <v>1</v>
      </c>
      <c r="O558">
        <v>2</v>
      </c>
      <c r="P558">
        <v>1</v>
      </c>
      <c r="Q558" s="2" t="s">
        <v>17</v>
      </c>
    </row>
    <row r="559" spans="1:17" x14ac:dyDescent="0.3">
      <c r="A559" s="1">
        <v>43496</v>
      </c>
      <c r="B559" s="3">
        <v>125</v>
      </c>
      <c r="C559" s="3">
        <v>125</v>
      </c>
      <c r="D559" s="3">
        <v>125</v>
      </c>
      <c r="E559" s="3">
        <v>125</v>
      </c>
      <c r="F559" s="4">
        <v>10209500</v>
      </c>
      <c r="G559" s="3">
        <v>125</v>
      </c>
      <c r="H559">
        <v>0</v>
      </c>
      <c r="I559">
        <v>122</v>
      </c>
      <c r="J559">
        <v>119</v>
      </c>
      <c r="K559">
        <v>118</v>
      </c>
      <c r="L559">
        <v>1</v>
      </c>
      <c r="M559">
        <v>2019</v>
      </c>
      <c r="N559">
        <v>1</v>
      </c>
      <c r="O559">
        <v>3</v>
      </c>
      <c r="P559">
        <v>1</v>
      </c>
      <c r="Q559" s="2" t="s">
        <v>17</v>
      </c>
    </row>
    <row r="560" spans="1:17" x14ac:dyDescent="0.3">
      <c r="A560" s="1">
        <v>43497</v>
      </c>
      <c r="B560" s="3">
        <v>125</v>
      </c>
      <c r="C560" s="3">
        <v>125</v>
      </c>
      <c r="D560" s="3">
        <v>124</v>
      </c>
      <c r="E560" s="3">
        <v>125</v>
      </c>
      <c r="F560" s="4">
        <v>12485500</v>
      </c>
      <c r="G560" s="3">
        <v>125</v>
      </c>
      <c r="H560">
        <v>0</v>
      </c>
      <c r="I560">
        <v>122</v>
      </c>
      <c r="J560">
        <v>120</v>
      </c>
      <c r="K560">
        <v>118</v>
      </c>
      <c r="L560">
        <v>1</v>
      </c>
      <c r="M560">
        <v>2019</v>
      </c>
      <c r="N560">
        <v>2</v>
      </c>
      <c r="O560">
        <v>4</v>
      </c>
      <c r="P560">
        <v>1</v>
      </c>
      <c r="Q560" s="2" t="s">
        <v>17</v>
      </c>
    </row>
    <row r="561" spans="1:17" x14ac:dyDescent="0.3">
      <c r="A561" s="1">
        <v>43500</v>
      </c>
      <c r="B561" s="3">
        <v>124</v>
      </c>
      <c r="C561" s="3">
        <v>124</v>
      </c>
      <c r="D561" s="3">
        <v>124</v>
      </c>
      <c r="E561" s="3">
        <v>124</v>
      </c>
      <c r="F561" s="4">
        <v>6878900</v>
      </c>
      <c r="G561" s="3">
        <v>124</v>
      </c>
      <c r="H561">
        <v>0</v>
      </c>
      <c r="I561">
        <v>123</v>
      </c>
      <c r="J561">
        <v>120</v>
      </c>
      <c r="K561">
        <v>118</v>
      </c>
      <c r="L561">
        <v>1</v>
      </c>
      <c r="M561">
        <v>2019</v>
      </c>
      <c r="N561">
        <v>2</v>
      </c>
      <c r="O561">
        <v>0</v>
      </c>
      <c r="P561">
        <v>1</v>
      </c>
      <c r="Q561" s="2" t="s">
        <v>17</v>
      </c>
    </row>
    <row r="562" spans="1:17" x14ac:dyDescent="0.3">
      <c r="A562" s="1">
        <v>43501</v>
      </c>
      <c r="B562" s="3">
        <v>124</v>
      </c>
      <c r="C562" s="3">
        <v>124</v>
      </c>
      <c r="D562" s="3">
        <v>124</v>
      </c>
      <c r="E562" s="3">
        <v>124</v>
      </c>
      <c r="F562" s="4">
        <v>6291100</v>
      </c>
      <c r="G562" s="3">
        <v>124</v>
      </c>
      <c r="H562">
        <v>0</v>
      </c>
      <c r="I562">
        <v>123</v>
      </c>
      <c r="J562">
        <v>120</v>
      </c>
      <c r="K562">
        <v>118</v>
      </c>
      <c r="L562">
        <v>1</v>
      </c>
      <c r="M562">
        <v>2019</v>
      </c>
      <c r="N562">
        <v>2</v>
      </c>
      <c r="O562">
        <v>1</v>
      </c>
      <c r="P562">
        <v>1</v>
      </c>
      <c r="Q562" s="2" t="s">
        <v>17</v>
      </c>
    </row>
    <row r="563" spans="1:17" x14ac:dyDescent="0.3">
      <c r="A563" s="1">
        <v>43502</v>
      </c>
      <c r="B563" s="3">
        <v>123</v>
      </c>
      <c r="C563" s="3">
        <v>124</v>
      </c>
      <c r="D563" s="3">
        <v>123</v>
      </c>
      <c r="E563" s="3">
        <v>124</v>
      </c>
      <c r="F563" s="4">
        <v>6595100</v>
      </c>
      <c r="G563" s="3">
        <v>123</v>
      </c>
      <c r="H563">
        <v>-1</v>
      </c>
      <c r="I563">
        <v>123</v>
      </c>
      <c r="J563">
        <v>120</v>
      </c>
      <c r="K563">
        <v>118</v>
      </c>
      <c r="L563">
        <v>1</v>
      </c>
      <c r="M563">
        <v>2019</v>
      </c>
      <c r="N563">
        <v>2</v>
      </c>
      <c r="O563">
        <v>2</v>
      </c>
      <c r="P563">
        <v>1</v>
      </c>
      <c r="Q563" s="2" t="s">
        <v>17</v>
      </c>
    </row>
    <row r="564" spans="1:17" x14ac:dyDescent="0.3">
      <c r="A564" s="1">
        <v>43503</v>
      </c>
      <c r="B564" s="3">
        <v>124</v>
      </c>
      <c r="C564" s="3">
        <v>124</v>
      </c>
      <c r="D564" s="3">
        <v>123</v>
      </c>
      <c r="E564" s="3">
        <v>124</v>
      </c>
      <c r="F564" s="4">
        <v>5935500</v>
      </c>
      <c r="G564" s="3">
        <v>124</v>
      </c>
      <c r="H564">
        <v>0</v>
      </c>
      <c r="I564">
        <v>123</v>
      </c>
      <c r="J564">
        <v>120</v>
      </c>
      <c r="K564">
        <v>118</v>
      </c>
      <c r="L564">
        <v>1</v>
      </c>
      <c r="M564">
        <v>2019</v>
      </c>
      <c r="N564">
        <v>2</v>
      </c>
      <c r="O564">
        <v>3</v>
      </c>
      <c r="P564">
        <v>1</v>
      </c>
      <c r="Q564" s="2" t="s">
        <v>17</v>
      </c>
    </row>
    <row r="565" spans="1:17" x14ac:dyDescent="0.3">
      <c r="A565" s="1">
        <v>43504</v>
      </c>
      <c r="B565" s="3">
        <v>124</v>
      </c>
      <c r="C565" s="3">
        <v>124</v>
      </c>
      <c r="D565" s="3">
        <v>124</v>
      </c>
      <c r="E565" s="3">
        <v>124</v>
      </c>
      <c r="F565" s="4">
        <v>4235200</v>
      </c>
      <c r="G565" s="3">
        <v>124</v>
      </c>
      <c r="H565">
        <v>0</v>
      </c>
      <c r="I565">
        <v>123</v>
      </c>
      <c r="J565">
        <v>120</v>
      </c>
      <c r="K565">
        <v>118</v>
      </c>
      <c r="L565">
        <v>1</v>
      </c>
      <c r="M565">
        <v>2019</v>
      </c>
      <c r="N565">
        <v>2</v>
      </c>
      <c r="O565">
        <v>4</v>
      </c>
      <c r="P565">
        <v>1</v>
      </c>
      <c r="Q565" s="2" t="s">
        <v>17</v>
      </c>
    </row>
    <row r="566" spans="1:17" x14ac:dyDescent="0.3">
      <c r="A566" s="1">
        <v>43507</v>
      </c>
      <c r="B566" s="3">
        <v>124</v>
      </c>
      <c r="C566" s="3">
        <v>124</v>
      </c>
      <c r="D566" s="3">
        <v>123</v>
      </c>
      <c r="E566" s="3">
        <v>123</v>
      </c>
      <c r="F566" s="4">
        <v>4821800</v>
      </c>
      <c r="G566" s="3">
        <v>124</v>
      </c>
      <c r="H566">
        <v>0</v>
      </c>
      <c r="I566">
        <v>123</v>
      </c>
      <c r="J566">
        <v>121</v>
      </c>
      <c r="K566">
        <v>118</v>
      </c>
      <c r="L566">
        <v>1</v>
      </c>
      <c r="M566">
        <v>2019</v>
      </c>
      <c r="N566">
        <v>2</v>
      </c>
      <c r="O566">
        <v>0</v>
      </c>
      <c r="P566">
        <v>1</v>
      </c>
      <c r="Q566" s="2" t="s">
        <v>17</v>
      </c>
    </row>
    <row r="567" spans="1:17" x14ac:dyDescent="0.3">
      <c r="A567" s="1">
        <v>43508</v>
      </c>
      <c r="B567" s="3">
        <v>124</v>
      </c>
      <c r="C567" s="3">
        <v>124</v>
      </c>
      <c r="D567" s="3">
        <v>124</v>
      </c>
      <c r="E567" s="3">
        <v>124</v>
      </c>
      <c r="F567" s="4">
        <v>4271900</v>
      </c>
      <c r="G567" s="3">
        <v>124</v>
      </c>
      <c r="H567">
        <v>0</v>
      </c>
      <c r="I567">
        <v>123</v>
      </c>
      <c r="J567">
        <v>121</v>
      </c>
      <c r="K567">
        <v>118</v>
      </c>
      <c r="L567">
        <v>1</v>
      </c>
      <c r="M567">
        <v>2019</v>
      </c>
      <c r="N567">
        <v>2</v>
      </c>
      <c r="O567">
        <v>1</v>
      </c>
      <c r="P567">
        <v>1</v>
      </c>
      <c r="Q567" s="2" t="s">
        <v>17</v>
      </c>
    </row>
    <row r="568" spans="1:17" x14ac:dyDescent="0.3">
      <c r="A568" s="1">
        <v>43509</v>
      </c>
      <c r="B568" s="3">
        <v>123</v>
      </c>
      <c r="C568" s="3">
        <v>125</v>
      </c>
      <c r="D568" s="3">
        <v>123</v>
      </c>
      <c r="E568" s="3">
        <v>124</v>
      </c>
      <c r="F568" s="4">
        <v>7640500</v>
      </c>
      <c r="G568" s="3">
        <v>123</v>
      </c>
      <c r="H568">
        <v>0</v>
      </c>
      <c r="I568">
        <v>123</v>
      </c>
      <c r="J568">
        <v>121</v>
      </c>
      <c r="K568">
        <v>118</v>
      </c>
      <c r="L568">
        <v>1</v>
      </c>
      <c r="M568">
        <v>2019</v>
      </c>
      <c r="N568">
        <v>2</v>
      </c>
      <c r="O568">
        <v>2</v>
      </c>
      <c r="P568">
        <v>1</v>
      </c>
      <c r="Q568" s="2" t="s">
        <v>17</v>
      </c>
    </row>
    <row r="569" spans="1:17" x14ac:dyDescent="0.3">
      <c r="A569" s="1">
        <v>43510</v>
      </c>
      <c r="B569" s="3">
        <v>124</v>
      </c>
      <c r="C569" s="3">
        <v>124</v>
      </c>
      <c r="D569" s="3">
        <v>124</v>
      </c>
      <c r="E569" s="3">
        <v>124</v>
      </c>
      <c r="F569" s="4">
        <v>6276500</v>
      </c>
      <c r="G569" s="3">
        <v>124</v>
      </c>
      <c r="H569">
        <v>1</v>
      </c>
      <c r="I569">
        <v>123</v>
      </c>
      <c r="J569">
        <v>121</v>
      </c>
      <c r="K569">
        <v>118</v>
      </c>
      <c r="L569">
        <v>1</v>
      </c>
      <c r="M569">
        <v>2019</v>
      </c>
      <c r="N569">
        <v>2</v>
      </c>
      <c r="O569">
        <v>3</v>
      </c>
      <c r="P569">
        <v>1</v>
      </c>
      <c r="Q569" s="2" t="s">
        <v>17</v>
      </c>
    </row>
    <row r="570" spans="1:17" x14ac:dyDescent="0.3">
      <c r="A570" s="1">
        <v>43511</v>
      </c>
      <c r="B570" s="3">
        <v>125</v>
      </c>
      <c r="C570" s="3">
        <v>125</v>
      </c>
      <c r="D570" s="3">
        <v>124</v>
      </c>
      <c r="E570" s="3">
        <v>125</v>
      </c>
      <c r="F570" s="4">
        <v>12190100</v>
      </c>
      <c r="G570" s="3">
        <v>125</v>
      </c>
      <c r="H570">
        <v>1</v>
      </c>
      <c r="I570">
        <v>123</v>
      </c>
      <c r="J570">
        <v>121</v>
      </c>
      <c r="K570">
        <v>118</v>
      </c>
      <c r="L570">
        <v>1</v>
      </c>
      <c r="M570">
        <v>2019</v>
      </c>
      <c r="N570">
        <v>2</v>
      </c>
      <c r="O570">
        <v>4</v>
      </c>
      <c r="P570">
        <v>1</v>
      </c>
      <c r="Q570" s="2" t="s">
        <v>17</v>
      </c>
    </row>
    <row r="571" spans="1:17" x14ac:dyDescent="0.3">
      <c r="A571" s="1">
        <v>43515</v>
      </c>
      <c r="B571" s="3">
        <v>127</v>
      </c>
      <c r="C571" s="3">
        <v>127</v>
      </c>
      <c r="D571" s="3">
        <v>126</v>
      </c>
      <c r="E571" s="3">
        <v>126</v>
      </c>
      <c r="F571" s="4">
        <v>15614000</v>
      </c>
      <c r="G571" s="3">
        <v>127</v>
      </c>
      <c r="H571">
        <v>2</v>
      </c>
      <c r="I571">
        <v>124</v>
      </c>
      <c r="J571">
        <v>121</v>
      </c>
      <c r="K571">
        <v>118</v>
      </c>
      <c r="L571">
        <v>1</v>
      </c>
      <c r="M571">
        <v>2019</v>
      </c>
      <c r="N571">
        <v>2</v>
      </c>
      <c r="O571">
        <v>1</v>
      </c>
      <c r="P571">
        <v>1</v>
      </c>
      <c r="Q571" s="2" t="s">
        <v>17</v>
      </c>
    </row>
    <row r="572" spans="1:17" x14ac:dyDescent="0.3">
      <c r="A572" s="1">
        <v>43516</v>
      </c>
      <c r="B572" s="3">
        <v>126</v>
      </c>
      <c r="C572" s="3">
        <v>127</v>
      </c>
      <c r="D572" s="3">
        <v>126</v>
      </c>
      <c r="E572" s="3">
        <v>127</v>
      </c>
      <c r="F572" s="4">
        <v>8889700</v>
      </c>
      <c r="G572" s="3">
        <v>126</v>
      </c>
      <c r="H572">
        <v>0</v>
      </c>
      <c r="I572">
        <v>124</v>
      </c>
      <c r="J572">
        <v>122</v>
      </c>
      <c r="K572">
        <v>118</v>
      </c>
      <c r="L572">
        <v>1</v>
      </c>
      <c r="M572">
        <v>2019</v>
      </c>
      <c r="N572">
        <v>2</v>
      </c>
      <c r="O572">
        <v>2</v>
      </c>
      <c r="P572">
        <v>1</v>
      </c>
      <c r="Q572" s="2" t="s">
        <v>17</v>
      </c>
    </row>
    <row r="573" spans="1:17" x14ac:dyDescent="0.3">
      <c r="A573" s="1">
        <v>43517</v>
      </c>
      <c r="B573" s="3">
        <v>125</v>
      </c>
      <c r="C573" s="3">
        <v>126</v>
      </c>
      <c r="D573" s="3">
        <v>125</v>
      </c>
      <c r="E573" s="3">
        <v>126</v>
      </c>
      <c r="F573" s="4">
        <v>8634600</v>
      </c>
      <c r="G573" s="3">
        <v>125</v>
      </c>
      <c r="H573">
        <v>-1</v>
      </c>
      <c r="I573">
        <v>124</v>
      </c>
      <c r="J573">
        <v>122</v>
      </c>
      <c r="K573">
        <v>118</v>
      </c>
      <c r="L573">
        <v>1</v>
      </c>
      <c r="M573">
        <v>2019</v>
      </c>
      <c r="N573">
        <v>2</v>
      </c>
      <c r="O573">
        <v>3</v>
      </c>
      <c r="P573">
        <v>1</v>
      </c>
      <c r="Q573" s="2" t="s">
        <v>17</v>
      </c>
    </row>
    <row r="574" spans="1:17" x14ac:dyDescent="0.3">
      <c r="A574" s="1">
        <v>43518</v>
      </c>
      <c r="B574" s="3">
        <v>126</v>
      </c>
      <c r="C574" s="3">
        <v>126</v>
      </c>
      <c r="D574" s="3">
        <v>125</v>
      </c>
      <c r="E574" s="3">
        <v>126</v>
      </c>
      <c r="F574" s="4">
        <v>5439400</v>
      </c>
      <c r="G574" s="3">
        <v>126</v>
      </c>
      <c r="H574">
        <v>0</v>
      </c>
      <c r="I574">
        <v>124</v>
      </c>
      <c r="J574">
        <v>122</v>
      </c>
      <c r="K574">
        <v>118</v>
      </c>
      <c r="L574">
        <v>1</v>
      </c>
      <c r="M574">
        <v>2019</v>
      </c>
      <c r="N574">
        <v>2</v>
      </c>
      <c r="O574">
        <v>4</v>
      </c>
      <c r="P574">
        <v>1</v>
      </c>
      <c r="Q574" s="2" t="s">
        <v>17</v>
      </c>
    </row>
    <row r="575" spans="1:17" x14ac:dyDescent="0.3">
      <c r="A575" s="1">
        <v>43521</v>
      </c>
      <c r="B575" s="3">
        <v>125</v>
      </c>
      <c r="C575" s="3">
        <v>126</v>
      </c>
      <c r="D575" s="3">
        <v>125</v>
      </c>
      <c r="E575" s="3">
        <v>126</v>
      </c>
      <c r="F575" s="4">
        <v>4882600</v>
      </c>
      <c r="G575" s="3">
        <v>125</v>
      </c>
      <c r="H575">
        <v>0</v>
      </c>
      <c r="I575">
        <v>124</v>
      </c>
      <c r="J575">
        <v>122</v>
      </c>
      <c r="K575">
        <v>118</v>
      </c>
      <c r="L575">
        <v>1</v>
      </c>
      <c r="M575">
        <v>2019</v>
      </c>
      <c r="N575">
        <v>2</v>
      </c>
      <c r="O575">
        <v>0</v>
      </c>
      <c r="P575">
        <v>1</v>
      </c>
      <c r="Q575" s="2" t="s">
        <v>17</v>
      </c>
    </row>
    <row r="576" spans="1:17" x14ac:dyDescent="0.3">
      <c r="A576" s="1">
        <v>43522</v>
      </c>
      <c r="B576" s="3">
        <v>126</v>
      </c>
      <c r="C576" s="3">
        <v>126</v>
      </c>
      <c r="D576" s="3">
        <v>125</v>
      </c>
      <c r="E576" s="3">
        <v>125</v>
      </c>
      <c r="F576" s="4">
        <v>5153200</v>
      </c>
      <c r="G576" s="3">
        <v>126</v>
      </c>
      <c r="H576">
        <v>0</v>
      </c>
      <c r="I576">
        <v>125</v>
      </c>
      <c r="J576">
        <v>122</v>
      </c>
      <c r="K576">
        <v>118</v>
      </c>
      <c r="L576">
        <v>1</v>
      </c>
      <c r="M576">
        <v>2019</v>
      </c>
      <c r="N576">
        <v>2</v>
      </c>
      <c r="O576">
        <v>1</v>
      </c>
      <c r="P576">
        <v>1</v>
      </c>
      <c r="Q576" s="2" t="s">
        <v>17</v>
      </c>
    </row>
    <row r="577" spans="1:17" x14ac:dyDescent="0.3">
      <c r="A577" s="1">
        <v>43523</v>
      </c>
      <c r="B577" s="3">
        <v>125</v>
      </c>
      <c r="C577" s="3">
        <v>125</v>
      </c>
      <c r="D577" s="3">
        <v>124</v>
      </c>
      <c r="E577" s="3">
        <v>125</v>
      </c>
      <c r="F577" s="4">
        <v>7935600</v>
      </c>
      <c r="G577" s="3">
        <v>125</v>
      </c>
      <c r="H577">
        <v>-1</v>
      </c>
      <c r="I577">
        <v>125</v>
      </c>
      <c r="J577">
        <v>122</v>
      </c>
      <c r="K577">
        <v>118</v>
      </c>
      <c r="L577">
        <v>1</v>
      </c>
      <c r="M577">
        <v>2019</v>
      </c>
      <c r="N577">
        <v>2</v>
      </c>
      <c r="O577">
        <v>2</v>
      </c>
      <c r="P577">
        <v>1</v>
      </c>
      <c r="Q577" s="2" t="s">
        <v>17</v>
      </c>
    </row>
    <row r="578" spans="1:17" x14ac:dyDescent="0.3">
      <c r="A578" s="1">
        <v>43524</v>
      </c>
      <c r="B578" s="3">
        <v>124</v>
      </c>
      <c r="C578" s="3">
        <v>125</v>
      </c>
      <c r="D578" s="3">
        <v>124</v>
      </c>
      <c r="E578" s="3">
        <v>125</v>
      </c>
      <c r="F578" s="4">
        <v>7811700</v>
      </c>
      <c r="G578" s="3">
        <v>124</v>
      </c>
      <c r="H578">
        <v>-1</v>
      </c>
      <c r="I578">
        <v>125</v>
      </c>
      <c r="J578">
        <v>123</v>
      </c>
      <c r="K578">
        <v>118</v>
      </c>
      <c r="L578">
        <v>1</v>
      </c>
      <c r="M578">
        <v>2019</v>
      </c>
      <c r="N578">
        <v>2</v>
      </c>
      <c r="O578">
        <v>3</v>
      </c>
      <c r="P578">
        <v>1</v>
      </c>
      <c r="Q578" s="2" t="s">
        <v>17</v>
      </c>
    </row>
    <row r="579" spans="1:17" x14ac:dyDescent="0.3">
      <c r="A579" s="1">
        <v>43525</v>
      </c>
      <c r="B579" s="3">
        <v>122</v>
      </c>
      <c r="C579" s="3">
        <v>124</v>
      </c>
      <c r="D579" s="3">
        <v>122</v>
      </c>
      <c r="E579" s="3">
        <v>123</v>
      </c>
      <c r="F579" s="4">
        <v>16411700</v>
      </c>
      <c r="G579" s="3">
        <v>122</v>
      </c>
      <c r="H579">
        <v>-2</v>
      </c>
      <c r="I579">
        <v>124</v>
      </c>
      <c r="J579">
        <v>123</v>
      </c>
      <c r="K579">
        <v>118</v>
      </c>
      <c r="L579">
        <v>1</v>
      </c>
      <c r="M579">
        <v>2019</v>
      </c>
      <c r="N579">
        <v>3</v>
      </c>
      <c r="O579">
        <v>4</v>
      </c>
      <c r="P579">
        <v>1</v>
      </c>
      <c r="Q579" s="2" t="s">
        <v>17</v>
      </c>
    </row>
    <row r="580" spans="1:17" x14ac:dyDescent="0.3">
      <c r="A580" s="1">
        <v>43528</v>
      </c>
      <c r="B580" s="3">
        <v>122</v>
      </c>
      <c r="C580" s="3">
        <v>122</v>
      </c>
      <c r="D580" s="3">
        <v>121</v>
      </c>
      <c r="E580" s="3">
        <v>122</v>
      </c>
      <c r="F580" s="4">
        <v>10272600</v>
      </c>
      <c r="G580" s="3">
        <v>122</v>
      </c>
      <c r="H580">
        <v>0</v>
      </c>
      <c r="I580">
        <v>124</v>
      </c>
      <c r="J580">
        <v>123</v>
      </c>
      <c r="K580">
        <v>118</v>
      </c>
      <c r="L580">
        <v>1</v>
      </c>
      <c r="M580">
        <v>2019</v>
      </c>
      <c r="N580">
        <v>3</v>
      </c>
      <c r="O580">
        <v>0</v>
      </c>
      <c r="P580">
        <v>1</v>
      </c>
      <c r="Q580" s="2" t="s">
        <v>17</v>
      </c>
    </row>
    <row r="581" spans="1:17" x14ac:dyDescent="0.3">
      <c r="A581" s="1">
        <v>43529</v>
      </c>
      <c r="B581" s="3">
        <v>122</v>
      </c>
      <c r="C581" s="3">
        <v>122</v>
      </c>
      <c r="D581" s="3">
        <v>121</v>
      </c>
      <c r="E581" s="3">
        <v>121</v>
      </c>
      <c r="F581" s="4">
        <v>7120100</v>
      </c>
      <c r="G581" s="3">
        <v>122</v>
      </c>
      <c r="H581">
        <v>0</v>
      </c>
      <c r="I581">
        <v>124</v>
      </c>
      <c r="J581">
        <v>123</v>
      </c>
      <c r="K581">
        <v>118</v>
      </c>
      <c r="L581">
        <v>1</v>
      </c>
      <c r="M581">
        <v>2019</v>
      </c>
      <c r="N581">
        <v>3</v>
      </c>
      <c r="O581">
        <v>1</v>
      </c>
      <c r="P581">
        <v>1</v>
      </c>
      <c r="Q581" s="2" t="s">
        <v>17</v>
      </c>
    </row>
    <row r="582" spans="1:17" x14ac:dyDescent="0.3">
      <c r="A582" s="1">
        <v>43530</v>
      </c>
      <c r="B582" s="3">
        <v>122</v>
      </c>
      <c r="C582" s="3">
        <v>122</v>
      </c>
      <c r="D582" s="3">
        <v>121</v>
      </c>
      <c r="E582" s="3">
        <v>121</v>
      </c>
      <c r="F582" s="4">
        <v>4820400</v>
      </c>
      <c r="G582" s="3">
        <v>122</v>
      </c>
      <c r="H582">
        <v>0</v>
      </c>
      <c r="I582">
        <v>124</v>
      </c>
      <c r="J582">
        <v>123</v>
      </c>
      <c r="K582">
        <v>118</v>
      </c>
      <c r="L582">
        <v>1</v>
      </c>
      <c r="M582">
        <v>2019</v>
      </c>
      <c r="N582">
        <v>3</v>
      </c>
      <c r="O582">
        <v>2</v>
      </c>
      <c r="P582">
        <v>1</v>
      </c>
      <c r="Q582" s="2" t="s">
        <v>17</v>
      </c>
    </row>
    <row r="583" spans="1:17" x14ac:dyDescent="0.3">
      <c r="A583" s="1">
        <v>43531</v>
      </c>
      <c r="B583" s="3">
        <v>122</v>
      </c>
      <c r="C583" s="3">
        <v>122</v>
      </c>
      <c r="D583" s="3">
        <v>121</v>
      </c>
      <c r="E583" s="3">
        <v>121</v>
      </c>
      <c r="F583" s="4">
        <v>6088800</v>
      </c>
      <c r="G583" s="3">
        <v>122</v>
      </c>
      <c r="H583">
        <v>0</v>
      </c>
      <c r="I583">
        <v>124</v>
      </c>
      <c r="J583">
        <v>123</v>
      </c>
      <c r="K583">
        <v>118</v>
      </c>
      <c r="L583">
        <v>1</v>
      </c>
      <c r="M583">
        <v>2019</v>
      </c>
      <c r="N583">
        <v>3</v>
      </c>
      <c r="O583">
        <v>3</v>
      </c>
      <c r="P583">
        <v>1</v>
      </c>
      <c r="Q583" s="2" t="s">
        <v>17</v>
      </c>
    </row>
    <row r="584" spans="1:17" x14ac:dyDescent="0.3">
      <c r="A584" s="1">
        <v>43532</v>
      </c>
      <c r="B584" s="3">
        <v>123</v>
      </c>
      <c r="C584" s="3">
        <v>123</v>
      </c>
      <c r="D584" s="3">
        <v>122</v>
      </c>
      <c r="E584" s="3">
        <v>123</v>
      </c>
      <c r="F584" s="4">
        <v>10427700</v>
      </c>
      <c r="G584" s="3">
        <v>123</v>
      </c>
      <c r="H584">
        <v>1</v>
      </c>
      <c r="I584">
        <v>124</v>
      </c>
      <c r="J584">
        <v>123</v>
      </c>
      <c r="K584">
        <v>118</v>
      </c>
      <c r="L584">
        <v>1</v>
      </c>
      <c r="M584">
        <v>2019</v>
      </c>
      <c r="N584">
        <v>3</v>
      </c>
      <c r="O584">
        <v>4</v>
      </c>
      <c r="P584">
        <v>1</v>
      </c>
      <c r="Q584" s="2" t="s">
        <v>17</v>
      </c>
    </row>
    <row r="585" spans="1:17" x14ac:dyDescent="0.3">
      <c r="A585" s="1">
        <v>43535</v>
      </c>
      <c r="B585" s="3">
        <v>122</v>
      </c>
      <c r="C585" s="3">
        <v>123</v>
      </c>
      <c r="D585" s="3">
        <v>122</v>
      </c>
      <c r="E585" s="3">
        <v>123</v>
      </c>
      <c r="F585" s="4">
        <v>6708700</v>
      </c>
      <c r="G585" s="3">
        <v>122</v>
      </c>
      <c r="H585">
        <v>0</v>
      </c>
      <c r="I585">
        <v>124</v>
      </c>
      <c r="J585">
        <v>123</v>
      </c>
      <c r="K585">
        <v>118</v>
      </c>
      <c r="L585">
        <v>1</v>
      </c>
      <c r="M585">
        <v>2019</v>
      </c>
      <c r="N585">
        <v>3</v>
      </c>
      <c r="O585">
        <v>0</v>
      </c>
      <c r="P585">
        <v>1</v>
      </c>
      <c r="Q585" s="2" t="s">
        <v>17</v>
      </c>
    </row>
    <row r="586" spans="1:17" x14ac:dyDescent="0.3">
      <c r="A586" s="1">
        <v>43536</v>
      </c>
      <c r="B586" s="3">
        <v>123</v>
      </c>
      <c r="C586" s="3">
        <v>123</v>
      </c>
      <c r="D586" s="3">
        <v>122</v>
      </c>
      <c r="E586" s="3">
        <v>123</v>
      </c>
      <c r="F586" s="4">
        <v>6289900</v>
      </c>
      <c r="G586" s="3">
        <v>123</v>
      </c>
      <c r="H586">
        <v>1</v>
      </c>
      <c r="I586">
        <v>124</v>
      </c>
      <c r="J586">
        <v>123</v>
      </c>
      <c r="K586">
        <v>118</v>
      </c>
      <c r="L586">
        <v>1</v>
      </c>
      <c r="M586">
        <v>2019</v>
      </c>
      <c r="N586">
        <v>3</v>
      </c>
      <c r="O586">
        <v>1</v>
      </c>
      <c r="P586">
        <v>1</v>
      </c>
      <c r="Q586" s="2" t="s">
        <v>17</v>
      </c>
    </row>
    <row r="587" spans="1:17" x14ac:dyDescent="0.3">
      <c r="A587" s="1">
        <v>43537</v>
      </c>
      <c r="B587" s="3">
        <v>124</v>
      </c>
      <c r="C587" s="3">
        <v>124</v>
      </c>
      <c r="D587" s="3">
        <v>123</v>
      </c>
      <c r="E587" s="3">
        <v>124</v>
      </c>
      <c r="F587" s="4">
        <v>7377300</v>
      </c>
      <c r="G587" s="3">
        <v>124</v>
      </c>
      <c r="H587">
        <v>1</v>
      </c>
      <c r="I587">
        <v>124</v>
      </c>
      <c r="J587">
        <v>123</v>
      </c>
      <c r="K587">
        <v>118</v>
      </c>
      <c r="L587">
        <v>1</v>
      </c>
      <c r="M587">
        <v>2019</v>
      </c>
      <c r="N587">
        <v>3</v>
      </c>
      <c r="O587">
        <v>2</v>
      </c>
      <c r="P587">
        <v>1</v>
      </c>
      <c r="Q587" s="2" t="s">
        <v>17</v>
      </c>
    </row>
    <row r="588" spans="1:17" x14ac:dyDescent="0.3">
      <c r="A588" s="1">
        <v>43538</v>
      </c>
      <c r="B588" s="3">
        <v>122</v>
      </c>
      <c r="C588" s="3">
        <v>123</v>
      </c>
      <c r="D588" s="3">
        <v>122</v>
      </c>
      <c r="E588" s="3">
        <v>122</v>
      </c>
      <c r="F588" s="4">
        <v>6778200</v>
      </c>
      <c r="G588" s="3">
        <v>122</v>
      </c>
      <c r="H588">
        <v>-1</v>
      </c>
      <c r="I588">
        <v>124</v>
      </c>
      <c r="J588">
        <v>123</v>
      </c>
      <c r="K588">
        <v>118</v>
      </c>
      <c r="L588">
        <v>1</v>
      </c>
      <c r="M588">
        <v>2019</v>
      </c>
      <c r="N588">
        <v>3</v>
      </c>
      <c r="O588">
        <v>3</v>
      </c>
      <c r="P588">
        <v>1</v>
      </c>
      <c r="Q588" s="2" t="s">
        <v>17</v>
      </c>
    </row>
    <row r="589" spans="1:17" x14ac:dyDescent="0.3">
      <c r="A589" s="1">
        <v>43539</v>
      </c>
      <c r="B589" s="3">
        <v>123</v>
      </c>
      <c r="C589" s="3">
        <v>123</v>
      </c>
      <c r="D589" s="3">
        <v>123</v>
      </c>
      <c r="E589" s="3">
        <v>123</v>
      </c>
      <c r="F589" s="4">
        <v>9412000</v>
      </c>
      <c r="G589" s="3">
        <v>123</v>
      </c>
      <c r="H589">
        <v>0</v>
      </c>
      <c r="I589">
        <v>124</v>
      </c>
      <c r="J589">
        <v>123</v>
      </c>
      <c r="K589">
        <v>118</v>
      </c>
      <c r="L589">
        <v>1</v>
      </c>
      <c r="M589">
        <v>2019</v>
      </c>
      <c r="N589">
        <v>3</v>
      </c>
      <c r="O589">
        <v>4</v>
      </c>
      <c r="P589">
        <v>1</v>
      </c>
      <c r="Q589" s="2" t="s">
        <v>17</v>
      </c>
    </row>
    <row r="590" spans="1:17" x14ac:dyDescent="0.3">
      <c r="A590" s="1">
        <v>43542</v>
      </c>
      <c r="B590" s="3">
        <v>123</v>
      </c>
      <c r="C590" s="3">
        <v>123</v>
      </c>
      <c r="D590" s="3">
        <v>123</v>
      </c>
      <c r="E590" s="3">
        <v>123</v>
      </c>
      <c r="F590" s="4">
        <v>7783200</v>
      </c>
      <c r="G590" s="3">
        <v>123</v>
      </c>
      <c r="H590">
        <v>0</v>
      </c>
      <c r="I590">
        <v>124</v>
      </c>
      <c r="J590">
        <v>123</v>
      </c>
      <c r="K590">
        <v>118</v>
      </c>
      <c r="L590">
        <v>1</v>
      </c>
      <c r="M590">
        <v>2019</v>
      </c>
      <c r="N590">
        <v>3</v>
      </c>
      <c r="O590">
        <v>0</v>
      </c>
      <c r="P590">
        <v>1</v>
      </c>
      <c r="Q590" s="2" t="s">
        <v>17</v>
      </c>
    </row>
    <row r="591" spans="1:17" x14ac:dyDescent="0.3">
      <c r="A591" s="1">
        <v>43543</v>
      </c>
      <c r="B591" s="3">
        <v>123</v>
      </c>
      <c r="C591" s="3">
        <v>124</v>
      </c>
      <c r="D591" s="3">
        <v>123</v>
      </c>
      <c r="E591" s="3">
        <v>124</v>
      </c>
      <c r="F591" s="4">
        <v>6558700</v>
      </c>
      <c r="G591" s="3">
        <v>123</v>
      </c>
      <c r="H591">
        <v>0</v>
      </c>
      <c r="I591">
        <v>123</v>
      </c>
      <c r="J591">
        <v>123</v>
      </c>
      <c r="K591">
        <v>118</v>
      </c>
      <c r="L591">
        <v>1</v>
      </c>
      <c r="M591">
        <v>2019</v>
      </c>
      <c r="N591">
        <v>3</v>
      </c>
      <c r="O591">
        <v>1</v>
      </c>
      <c r="P591">
        <v>1</v>
      </c>
      <c r="Q591" s="2" t="s">
        <v>17</v>
      </c>
    </row>
    <row r="592" spans="1:17" x14ac:dyDescent="0.3">
      <c r="A592" s="1">
        <v>43544</v>
      </c>
      <c r="B592" s="3">
        <v>124</v>
      </c>
      <c r="C592" s="3">
        <v>124</v>
      </c>
      <c r="D592" s="3">
        <v>123</v>
      </c>
      <c r="E592" s="3">
        <v>124</v>
      </c>
      <c r="F592" s="4">
        <v>11304900</v>
      </c>
      <c r="G592" s="3">
        <v>124</v>
      </c>
      <c r="H592">
        <v>1</v>
      </c>
      <c r="I592">
        <v>123</v>
      </c>
      <c r="J592">
        <v>123</v>
      </c>
      <c r="K592">
        <v>118</v>
      </c>
      <c r="L592">
        <v>1</v>
      </c>
      <c r="M592">
        <v>2019</v>
      </c>
      <c r="N592">
        <v>3</v>
      </c>
      <c r="O592">
        <v>2</v>
      </c>
      <c r="P592">
        <v>1</v>
      </c>
      <c r="Q592" s="2" t="s">
        <v>17</v>
      </c>
    </row>
    <row r="593" spans="1:17" x14ac:dyDescent="0.3">
      <c r="A593" s="1">
        <v>43545</v>
      </c>
      <c r="B593" s="3">
        <v>124</v>
      </c>
      <c r="C593" s="3">
        <v>124</v>
      </c>
      <c r="D593" s="3">
        <v>123</v>
      </c>
      <c r="E593" s="3">
        <v>124</v>
      </c>
      <c r="F593" s="4">
        <v>7739800</v>
      </c>
      <c r="G593" s="3">
        <v>124</v>
      </c>
      <c r="H593">
        <v>0</v>
      </c>
      <c r="I593">
        <v>123</v>
      </c>
      <c r="J593">
        <v>123</v>
      </c>
      <c r="K593">
        <v>118</v>
      </c>
      <c r="L593">
        <v>1</v>
      </c>
      <c r="M593">
        <v>2019</v>
      </c>
      <c r="N593">
        <v>3</v>
      </c>
      <c r="O593">
        <v>3</v>
      </c>
      <c r="P593">
        <v>1</v>
      </c>
      <c r="Q593" s="2" t="s">
        <v>17</v>
      </c>
    </row>
    <row r="594" spans="1:17" x14ac:dyDescent="0.3">
      <c r="A594" s="1">
        <v>43546</v>
      </c>
      <c r="B594" s="3">
        <v>124</v>
      </c>
      <c r="C594" s="3">
        <v>124</v>
      </c>
      <c r="D594" s="3">
        <v>124</v>
      </c>
      <c r="E594" s="3">
        <v>124</v>
      </c>
      <c r="F594" s="4">
        <v>5874000</v>
      </c>
      <c r="G594" s="3">
        <v>124</v>
      </c>
      <c r="H594">
        <v>0</v>
      </c>
      <c r="I594">
        <v>123</v>
      </c>
      <c r="J594">
        <v>123</v>
      </c>
      <c r="K594">
        <v>118</v>
      </c>
      <c r="L594">
        <v>1</v>
      </c>
      <c r="M594">
        <v>2019</v>
      </c>
      <c r="N594">
        <v>3</v>
      </c>
      <c r="O594">
        <v>4</v>
      </c>
      <c r="P594">
        <v>1</v>
      </c>
      <c r="Q594" s="2" t="s">
        <v>17</v>
      </c>
    </row>
    <row r="595" spans="1:17" x14ac:dyDescent="0.3">
      <c r="A595" s="1">
        <v>43549</v>
      </c>
      <c r="B595" s="3">
        <v>125</v>
      </c>
      <c r="C595" s="3">
        <v>125</v>
      </c>
      <c r="D595" s="3">
        <v>124</v>
      </c>
      <c r="E595" s="3">
        <v>125</v>
      </c>
      <c r="F595" s="4">
        <v>7288300</v>
      </c>
      <c r="G595" s="3">
        <v>125</v>
      </c>
      <c r="H595">
        <v>1</v>
      </c>
      <c r="I595">
        <v>123</v>
      </c>
      <c r="J595">
        <v>123</v>
      </c>
      <c r="K595">
        <v>118</v>
      </c>
      <c r="L595">
        <v>1</v>
      </c>
      <c r="M595">
        <v>2019</v>
      </c>
      <c r="N595">
        <v>3</v>
      </c>
      <c r="O595">
        <v>0</v>
      </c>
      <c r="P595">
        <v>1</v>
      </c>
      <c r="Q595" s="2" t="s">
        <v>17</v>
      </c>
    </row>
    <row r="596" spans="1:17" x14ac:dyDescent="0.3">
      <c r="A596" s="1">
        <v>43550</v>
      </c>
      <c r="B596" s="3">
        <v>124</v>
      </c>
      <c r="C596" s="3">
        <v>125</v>
      </c>
      <c r="D596" s="3">
        <v>124</v>
      </c>
      <c r="E596" s="3">
        <v>124</v>
      </c>
      <c r="F596" s="4">
        <v>5056100</v>
      </c>
      <c r="G596" s="3">
        <v>124</v>
      </c>
      <c r="H596">
        <v>0</v>
      </c>
      <c r="I596">
        <v>123</v>
      </c>
      <c r="J596">
        <v>123</v>
      </c>
      <c r="K596">
        <v>118</v>
      </c>
      <c r="L596">
        <v>1</v>
      </c>
      <c r="M596">
        <v>2019</v>
      </c>
      <c r="N596">
        <v>3</v>
      </c>
      <c r="O596">
        <v>1</v>
      </c>
      <c r="P596">
        <v>1</v>
      </c>
      <c r="Q596" s="2" t="s">
        <v>17</v>
      </c>
    </row>
    <row r="597" spans="1:17" x14ac:dyDescent="0.3">
      <c r="A597" s="1">
        <v>43551</v>
      </c>
      <c r="B597" s="3">
        <v>124</v>
      </c>
      <c r="C597" s="3">
        <v>124</v>
      </c>
      <c r="D597" s="3">
        <v>124</v>
      </c>
      <c r="E597" s="3">
        <v>124</v>
      </c>
      <c r="F597" s="4">
        <v>6595000</v>
      </c>
      <c r="G597" s="3">
        <v>124</v>
      </c>
      <c r="H597">
        <v>-1</v>
      </c>
      <c r="I597">
        <v>123</v>
      </c>
      <c r="J597">
        <v>123</v>
      </c>
      <c r="K597">
        <v>118</v>
      </c>
      <c r="L597">
        <v>1</v>
      </c>
      <c r="M597">
        <v>2019</v>
      </c>
      <c r="N597">
        <v>3</v>
      </c>
      <c r="O597">
        <v>2</v>
      </c>
      <c r="P597">
        <v>1</v>
      </c>
      <c r="Q597" s="2" t="s">
        <v>17</v>
      </c>
    </row>
    <row r="598" spans="1:17" x14ac:dyDescent="0.3">
      <c r="A598" s="1">
        <v>43552</v>
      </c>
      <c r="B598" s="3">
        <v>122</v>
      </c>
      <c r="C598" s="3">
        <v>122</v>
      </c>
      <c r="D598" s="3">
        <v>122</v>
      </c>
      <c r="E598" s="3">
        <v>122</v>
      </c>
      <c r="F598" s="4">
        <v>11878300</v>
      </c>
      <c r="G598" s="3">
        <v>122</v>
      </c>
      <c r="H598">
        <v>-1</v>
      </c>
      <c r="I598">
        <v>123</v>
      </c>
      <c r="J598">
        <v>123</v>
      </c>
      <c r="K598">
        <v>118</v>
      </c>
      <c r="L598">
        <v>1</v>
      </c>
      <c r="M598">
        <v>2019</v>
      </c>
      <c r="N598">
        <v>3</v>
      </c>
      <c r="O598">
        <v>3</v>
      </c>
      <c r="P598">
        <v>1</v>
      </c>
      <c r="Q598" s="2" t="s">
        <v>17</v>
      </c>
    </row>
    <row r="599" spans="1:17" x14ac:dyDescent="0.3">
      <c r="A599" s="1">
        <v>43553</v>
      </c>
      <c r="B599" s="3">
        <v>122</v>
      </c>
      <c r="C599" s="3">
        <v>123</v>
      </c>
      <c r="D599" s="3">
        <v>122</v>
      </c>
      <c r="E599" s="3">
        <v>123</v>
      </c>
      <c r="F599" s="4">
        <v>7093900</v>
      </c>
      <c r="G599" s="3">
        <v>122</v>
      </c>
      <c r="H599">
        <v>0</v>
      </c>
      <c r="I599">
        <v>123</v>
      </c>
      <c r="J599">
        <v>123</v>
      </c>
      <c r="K599">
        <v>118</v>
      </c>
      <c r="L599">
        <v>1</v>
      </c>
      <c r="M599">
        <v>2019</v>
      </c>
      <c r="N599">
        <v>3</v>
      </c>
      <c r="O599">
        <v>4</v>
      </c>
      <c r="P599">
        <v>1</v>
      </c>
      <c r="Q599" s="2" t="s">
        <v>17</v>
      </c>
    </row>
    <row r="600" spans="1:17" x14ac:dyDescent="0.3">
      <c r="A600" s="1">
        <v>43556</v>
      </c>
      <c r="B600" s="3">
        <v>122</v>
      </c>
      <c r="C600" s="3">
        <v>122</v>
      </c>
      <c r="D600" s="3">
        <v>121</v>
      </c>
      <c r="E600" s="3">
        <v>122</v>
      </c>
      <c r="F600" s="4">
        <v>13560000</v>
      </c>
      <c r="G600" s="3">
        <v>122</v>
      </c>
      <c r="H600">
        <v>0</v>
      </c>
      <c r="I600">
        <v>123</v>
      </c>
      <c r="J600">
        <v>123</v>
      </c>
      <c r="K600">
        <v>118</v>
      </c>
      <c r="L600">
        <v>1</v>
      </c>
      <c r="M600">
        <v>2019</v>
      </c>
      <c r="N600">
        <v>4</v>
      </c>
      <c r="O600">
        <v>0</v>
      </c>
      <c r="P600">
        <v>2</v>
      </c>
      <c r="Q600" s="2" t="s">
        <v>17</v>
      </c>
    </row>
    <row r="601" spans="1:17" x14ac:dyDescent="0.3">
      <c r="A601" s="1">
        <v>43557</v>
      </c>
      <c r="B601" s="3">
        <v>122</v>
      </c>
      <c r="C601" s="3">
        <v>122</v>
      </c>
      <c r="D601" s="3">
        <v>122</v>
      </c>
      <c r="E601" s="3">
        <v>122</v>
      </c>
      <c r="F601" s="4">
        <v>4475000</v>
      </c>
      <c r="G601" s="3">
        <v>122</v>
      </c>
      <c r="H601">
        <v>0</v>
      </c>
      <c r="I601">
        <v>123</v>
      </c>
      <c r="J601">
        <v>123</v>
      </c>
      <c r="K601">
        <v>118</v>
      </c>
      <c r="L601">
        <v>1</v>
      </c>
      <c r="M601">
        <v>2019</v>
      </c>
      <c r="N601">
        <v>4</v>
      </c>
      <c r="O601">
        <v>1</v>
      </c>
      <c r="P601">
        <v>2</v>
      </c>
      <c r="Q601" s="2" t="s">
        <v>17</v>
      </c>
    </row>
    <row r="602" spans="1:17" x14ac:dyDescent="0.3">
      <c r="A602" s="1">
        <v>43558</v>
      </c>
      <c r="B602" s="3">
        <v>122</v>
      </c>
      <c r="C602" s="3">
        <v>122</v>
      </c>
      <c r="D602" s="3">
        <v>122</v>
      </c>
      <c r="E602" s="3">
        <v>122</v>
      </c>
      <c r="F602" s="4">
        <v>6152200</v>
      </c>
      <c r="G602" s="3">
        <v>122</v>
      </c>
      <c r="H602">
        <v>0</v>
      </c>
      <c r="I602">
        <v>123</v>
      </c>
      <c r="J602">
        <v>124</v>
      </c>
      <c r="K602">
        <v>118</v>
      </c>
      <c r="L602">
        <v>1</v>
      </c>
      <c r="M602">
        <v>2019</v>
      </c>
      <c r="N602">
        <v>4</v>
      </c>
      <c r="O602">
        <v>2</v>
      </c>
      <c r="P602">
        <v>2</v>
      </c>
      <c r="Q602" s="2" t="s">
        <v>17</v>
      </c>
    </row>
    <row r="603" spans="1:17" x14ac:dyDescent="0.3">
      <c r="A603" s="1">
        <v>43559</v>
      </c>
      <c r="B603" s="3">
        <v>122</v>
      </c>
      <c r="C603" s="3">
        <v>122</v>
      </c>
      <c r="D603" s="3">
        <v>121</v>
      </c>
      <c r="E603" s="3">
        <v>121</v>
      </c>
      <c r="F603" s="4">
        <v>7508400</v>
      </c>
      <c r="G603" s="3">
        <v>122</v>
      </c>
      <c r="H603">
        <v>0</v>
      </c>
      <c r="I603">
        <v>123</v>
      </c>
      <c r="J603">
        <v>124</v>
      </c>
      <c r="K603">
        <v>118</v>
      </c>
      <c r="L603">
        <v>1</v>
      </c>
      <c r="M603">
        <v>2019</v>
      </c>
      <c r="N603">
        <v>4</v>
      </c>
      <c r="O603">
        <v>3</v>
      </c>
      <c r="P603">
        <v>2</v>
      </c>
      <c r="Q603" s="2" t="s">
        <v>17</v>
      </c>
    </row>
    <row r="604" spans="1:17" x14ac:dyDescent="0.3">
      <c r="A604" s="1">
        <v>43560</v>
      </c>
      <c r="B604" s="3">
        <v>122</v>
      </c>
      <c r="C604" s="3">
        <v>122</v>
      </c>
      <c r="D604" s="3">
        <v>122</v>
      </c>
      <c r="E604" s="3">
        <v>122</v>
      </c>
      <c r="F604" s="4">
        <v>5114500</v>
      </c>
      <c r="G604" s="3">
        <v>122</v>
      </c>
      <c r="H604">
        <v>0</v>
      </c>
      <c r="I604">
        <v>123</v>
      </c>
      <c r="J604">
        <v>124</v>
      </c>
      <c r="K604">
        <v>118</v>
      </c>
      <c r="L604">
        <v>1</v>
      </c>
      <c r="M604">
        <v>2019</v>
      </c>
      <c r="N604">
        <v>4</v>
      </c>
      <c r="O604">
        <v>4</v>
      </c>
      <c r="P604">
        <v>2</v>
      </c>
      <c r="Q604" s="2" t="s">
        <v>17</v>
      </c>
    </row>
    <row r="605" spans="1:17" x14ac:dyDescent="0.3">
      <c r="A605" s="1">
        <v>43563</v>
      </c>
      <c r="B605" s="3">
        <v>123</v>
      </c>
      <c r="C605" s="3">
        <v>123</v>
      </c>
      <c r="D605" s="3">
        <v>122</v>
      </c>
      <c r="E605" s="3">
        <v>123</v>
      </c>
      <c r="F605" s="4">
        <v>4270800</v>
      </c>
      <c r="G605" s="3">
        <v>123</v>
      </c>
      <c r="H605">
        <v>0</v>
      </c>
      <c r="I605">
        <v>123</v>
      </c>
      <c r="J605">
        <v>124</v>
      </c>
      <c r="K605">
        <v>118</v>
      </c>
      <c r="L605">
        <v>1</v>
      </c>
      <c r="M605">
        <v>2019</v>
      </c>
      <c r="N605">
        <v>4</v>
      </c>
      <c r="O605">
        <v>0</v>
      </c>
      <c r="P605">
        <v>2</v>
      </c>
      <c r="Q605" s="2" t="s">
        <v>17</v>
      </c>
    </row>
    <row r="606" spans="1:17" x14ac:dyDescent="0.3">
      <c r="A606" s="1">
        <v>43564</v>
      </c>
      <c r="B606" s="3">
        <v>123</v>
      </c>
      <c r="C606" s="3">
        <v>123</v>
      </c>
      <c r="D606" s="3">
        <v>123</v>
      </c>
      <c r="E606" s="3">
        <v>123</v>
      </c>
      <c r="F606" s="4">
        <v>4648400</v>
      </c>
      <c r="G606" s="3">
        <v>123</v>
      </c>
      <c r="H606">
        <v>1</v>
      </c>
      <c r="I606">
        <v>123</v>
      </c>
      <c r="J606">
        <v>124</v>
      </c>
      <c r="K606">
        <v>118</v>
      </c>
      <c r="L606">
        <v>1</v>
      </c>
      <c r="M606">
        <v>2019</v>
      </c>
      <c r="N606">
        <v>4</v>
      </c>
      <c r="O606">
        <v>1</v>
      </c>
      <c r="P606">
        <v>2</v>
      </c>
      <c r="Q606" s="2" t="s">
        <v>17</v>
      </c>
    </row>
    <row r="607" spans="1:17" x14ac:dyDescent="0.3">
      <c r="A607" s="1">
        <v>43565</v>
      </c>
      <c r="B607" s="3">
        <v>124</v>
      </c>
      <c r="C607" s="3">
        <v>124</v>
      </c>
      <c r="D607" s="3">
        <v>123</v>
      </c>
      <c r="E607" s="3">
        <v>123</v>
      </c>
      <c r="F607" s="4">
        <v>6344800</v>
      </c>
      <c r="G607" s="3">
        <v>124</v>
      </c>
      <c r="H607">
        <v>0</v>
      </c>
      <c r="I607">
        <v>123</v>
      </c>
      <c r="J607">
        <v>124</v>
      </c>
      <c r="K607">
        <v>118</v>
      </c>
      <c r="L607">
        <v>1</v>
      </c>
      <c r="M607">
        <v>2019</v>
      </c>
      <c r="N607">
        <v>4</v>
      </c>
      <c r="O607">
        <v>2</v>
      </c>
      <c r="P607">
        <v>2</v>
      </c>
      <c r="Q607" s="2" t="s">
        <v>17</v>
      </c>
    </row>
    <row r="608" spans="1:17" x14ac:dyDescent="0.3">
      <c r="A608" s="1">
        <v>43566</v>
      </c>
      <c r="B608" s="3">
        <v>122</v>
      </c>
      <c r="C608" s="3">
        <v>123</v>
      </c>
      <c r="D608" s="3">
        <v>122</v>
      </c>
      <c r="E608" s="3">
        <v>123</v>
      </c>
      <c r="F608" s="4">
        <v>11694500</v>
      </c>
      <c r="G608" s="3">
        <v>122</v>
      </c>
      <c r="H608">
        <v>-1</v>
      </c>
      <c r="I608">
        <v>123</v>
      </c>
      <c r="J608">
        <v>123</v>
      </c>
      <c r="K608">
        <v>118</v>
      </c>
      <c r="L608">
        <v>1</v>
      </c>
      <c r="M608">
        <v>2019</v>
      </c>
      <c r="N608">
        <v>4</v>
      </c>
      <c r="O608">
        <v>3</v>
      </c>
      <c r="P608">
        <v>2</v>
      </c>
      <c r="Q608" s="2" t="s">
        <v>17</v>
      </c>
    </row>
    <row r="609" spans="1:17" x14ac:dyDescent="0.3">
      <c r="A609" s="1">
        <v>43567</v>
      </c>
      <c r="B609" s="3">
        <v>122</v>
      </c>
      <c r="C609" s="3">
        <v>122</v>
      </c>
      <c r="D609" s="3">
        <v>122</v>
      </c>
      <c r="E609" s="3">
        <v>122</v>
      </c>
      <c r="F609" s="4">
        <v>5272800</v>
      </c>
      <c r="G609" s="3">
        <v>122</v>
      </c>
      <c r="H609">
        <v>0</v>
      </c>
      <c r="I609">
        <v>123</v>
      </c>
      <c r="J609">
        <v>123</v>
      </c>
      <c r="K609">
        <v>118</v>
      </c>
      <c r="L609">
        <v>1</v>
      </c>
      <c r="M609">
        <v>2019</v>
      </c>
      <c r="N609">
        <v>4</v>
      </c>
      <c r="O609">
        <v>4</v>
      </c>
      <c r="P609">
        <v>2</v>
      </c>
      <c r="Q609" s="2" t="s">
        <v>17</v>
      </c>
    </row>
    <row r="610" spans="1:17" x14ac:dyDescent="0.3">
      <c r="A610" s="1">
        <v>43570</v>
      </c>
      <c r="B610" s="3">
        <v>122</v>
      </c>
      <c r="C610" s="3">
        <v>122</v>
      </c>
      <c r="D610" s="3">
        <v>121</v>
      </c>
      <c r="E610" s="3">
        <v>121</v>
      </c>
      <c r="F610" s="4">
        <v>4252400</v>
      </c>
      <c r="G610" s="3">
        <v>122</v>
      </c>
      <c r="H610">
        <v>0</v>
      </c>
      <c r="I610">
        <v>123</v>
      </c>
      <c r="J610">
        <v>123</v>
      </c>
      <c r="K610">
        <v>118</v>
      </c>
      <c r="L610">
        <v>1</v>
      </c>
      <c r="M610">
        <v>2019</v>
      </c>
      <c r="N610">
        <v>4</v>
      </c>
      <c r="O610">
        <v>0</v>
      </c>
      <c r="P610">
        <v>2</v>
      </c>
      <c r="Q610" s="2" t="s">
        <v>17</v>
      </c>
    </row>
    <row r="611" spans="1:17" x14ac:dyDescent="0.3">
      <c r="A611" s="1">
        <v>43571</v>
      </c>
      <c r="B611" s="3">
        <v>121</v>
      </c>
      <c r="C611" s="3">
        <v>121</v>
      </c>
      <c r="D611" s="3">
        <v>120</v>
      </c>
      <c r="E611" s="3">
        <v>120</v>
      </c>
      <c r="F611" s="4">
        <v>10097800</v>
      </c>
      <c r="G611" s="3">
        <v>121</v>
      </c>
      <c r="H611">
        <v>-1</v>
      </c>
      <c r="I611">
        <v>123</v>
      </c>
      <c r="J611">
        <v>123</v>
      </c>
      <c r="K611">
        <v>118</v>
      </c>
      <c r="L611">
        <v>1</v>
      </c>
      <c r="M611">
        <v>2019</v>
      </c>
      <c r="N611">
        <v>4</v>
      </c>
      <c r="O611">
        <v>1</v>
      </c>
      <c r="P611">
        <v>2</v>
      </c>
      <c r="Q611" s="2" t="s">
        <v>17</v>
      </c>
    </row>
    <row r="612" spans="1:17" x14ac:dyDescent="0.3">
      <c r="A612" s="1">
        <v>43572</v>
      </c>
      <c r="B612" s="3">
        <v>120</v>
      </c>
      <c r="C612" s="3">
        <v>121</v>
      </c>
      <c r="D612" s="3">
        <v>120</v>
      </c>
      <c r="E612" s="3">
        <v>120</v>
      </c>
      <c r="F612" s="4">
        <v>4693900</v>
      </c>
      <c r="G612" s="3">
        <v>120</v>
      </c>
      <c r="H612">
        <v>0</v>
      </c>
      <c r="I612">
        <v>122</v>
      </c>
      <c r="J612">
        <v>123</v>
      </c>
      <c r="K612">
        <v>118</v>
      </c>
      <c r="L612">
        <v>1</v>
      </c>
      <c r="M612">
        <v>2019</v>
      </c>
      <c r="N612">
        <v>4</v>
      </c>
      <c r="O612">
        <v>2</v>
      </c>
      <c r="P612">
        <v>2</v>
      </c>
      <c r="Q612" s="2" t="s">
        <v>17</v>
      </c>
    </row>
    <row r="613" spans="1:17" x14ac:dyDescent="0.3">
      <c r="A613" s="1">
        <v>43573</v>
      </c>
      <c r="B613" s="3">
        <v>120</v>
      </c>
      <c r="C613" s="3">
        <v>121</v>
      </c>
      <c r="D613" s="3">
        <v>120</v>
      </c>
      <c r="E613" s="3">
        <v>120</v>
      </c>
      <c r="F613" s="4">
        <v>4090400</v>
      </c>
      <c r="G613" s="3">
        <v>120</v>
      </c>
      <c r="H613">
        <v>0</v>
      </c>
      <c r="I613">
        <v>122</v>
      </c>
      <c r="J613">
        <v>123</v>
      </c>
      <c r="K613">
        <v>118</v>
      </c>
      <c r="L613">
        <v>1</v>
      </c>
      <c r="M613">
        <v>2019</v>
      </c>
      <c r="N613">
        <v>4</v>
      </c>
      <c r="O613">
        <v>3</v>
      </c>
      <c r="P613">
        <v>2</v>
      </c>
      <c r="Q613" s="2" t="s">
        <v>17</v>
      </c>
    </row>
    <row r="614" spans="1:17" x14ac:dyDescent="0.3">
      <c r="A614" s="1">
        <v>43577</v>
      </c>
      <c r="B614" s="3">
        <v>120</v>
      </c>
      <c r="C614" s="3">
        <v>121</v>
      </c>
      <c r="D614" s="3">
        <v>120</v>
      </c>
      <c r="E614" s="3">
        <v>120</v>
      </c>
      <c r="F614" s="4">
        <v>2250900</v>
      </c>
      <c r="G614" s="3">
        <v>120</v>
      </c>
      <c r="H614">
        <v>0</v>
      </c>
      <c r="I614">
        <v>122</v>
      </c>
      <c r="J614">
        <v>123</v>
      </c>
      <c r="K614">
        <v>118</v>
      </c>
      <c r="L614">
        <v>1</v>
      </c>
      <c r="M614">
        <v>2019</v>
      </c>
      <c r="N614">
        <v>4</v>
      </c>
      <c r="O614">
        <v>0</v>
      </c>
      <c r="P614">
        <v>2</v>
      </c>
      <c r="Q614" s="2" t="s">
        <v>17</v>
      </c>
    </row>
    <row r="615" spans="1:17" x14ac:dyDescent="0.3">
      <c r="A615" s="1">
        <v>43578</v>
      </c>
      <c r="B615" s="3">
        <v>120</v>
      </c>
      <c r="C615" s="3">
        <v>120</v>
      </c>
      <c r="D615" s="3">
        <v>120</v>
      </c>
      <c r="E615" s="3">
        <v>120</v>
      </c>
      <c r="F615" s="4">
        <v>5574800</v>
      </c>
      <c r="G615" s="3">
        <v>120</v>
      </c>
      <c r="H615">
        <v>0</v>
      </c>
      <c r="I615">
        <v>122</v>
      </c>
      <c r="J615">
        <v>123</v>
      </c>
      <c r="K615">
        <v>118</v>
      </c>
      <c r="L615">
        <v>1</v>
      </c>
      <c r="M615">
        <v>2019</v>
      </c>
      <c r="N615">
        <v>4</v>
      </c>
      <c r="O615">
        <v>1</v>
      </c>
      <c r="P615">
        <v>2</v>
      </c>
      <c r="Q615" s="2" t="s">
        <v>17</v>
      </c>
    </row>
    <row r="616" spans="1:17" x14ac:dyDescent="0.3">
      <c r="A616" s="1">
        <v>43579</v>
      </c>
      <c r="B616" s="3">
        <v>120</v>
      </c>
      <c r="C616" s="3">
        <v>121</v>
      </c>
      <c r="D616" s="3">
        <v>120</v>
      </c>
      <c r="E616" s="3">
        <v>120</v>
      </c>
      <c r="F616" s="4">
        <v>4173000</v>
      </c>
      <c r="G616" s="3">
        <v>120</v>
      </c>
      <c r="H616">
        <v>0</v>
      </c>
      <c r="I616">
        <v>122</v>
      </c>
      <c r="J616">
        <v>123</v>
      </c>
      <c r="K616">
        <v>118</v>
      </c>
      <c r="L616">
        <v>1</v>
      </c>
      <c r="M616">
        <v>2019</v>
      </c>
      <c r="N616">
        <v>4</v>
      </c>
      <c r="O616">
        <v>2</v>
      </c>
      <c r="P616">
        <v>2</v>
      </c>
      <c r="Q616" s="2" t="s">
        <v>17</v>
      </c>
    </row>
    <row r="617" spans="1:17" x14ac:dyDescent="0.3">
      <c r="A617" s="1">
        <v>43580</v>
      </c>
      <c r="B617" s="3">
        <v>121</v>
      </c>
      <c r="C617" s="3">
        <v>121</v>
      </c>
      <c r="D617" s="3">
        <v>121</v>
      </c>
      <c r="E617" s="3">
        <v>121</v>
      </c>
      <c r="F617" s="4">
        <v>4836900</v>
      </c>
      <c r="G617" s="3">
        <v>121</v>
      </c>
      <c r="H617">
        <v>0</v>
      </c>
      <c r="I617">
        <v>122</v>
      </c>
      <c r="J617">
        <v>123</v>
      </c>
      <c r="K617">
        <v>118</v>
      </c>
      <c r="L617">
        <v>1</v>
      </c>
      <c r="M617">
        <v>2019</v>
      </c>
      <c r="N617">
        <v>4</v>
      </c>
      <c r="O617">
        <v>3</v>
      </c>
      <c r="P617">
        <v>2</v>
      </c>
      <c r="Q617" s="2" t="s">
        <v>17</v>
      </c>
    </row>
    <row r="618" spans="1:17" x14ac:dyDescent="0.3">
      <c r="A618" s="1">
        <v>43581</v>
      </c>
      <c r="B618" s="3">
        <v>121</v>
      </c>
      <c r="C618" s="3">
        <v>122</v>
      </c>
      <c r="D618" s="3">
        <v>121</v>
      </c>
      <c r="E618" s="3">
        <v>121</v>
      </c>
      <c r="F618" s="4">
        <v>6022700</v>
      </c>
      <c r="G618" s="3">
        <v>121</v>
      </c>
      <c r="H618">
        <v>1</v>
      </c>
      <c r="I618">
        <v>122</v>
      </c>
      <c r="J618">
        <v>123</v>
      </c>
      <c r="K618">
        <v>118</v>
      </c>
      <c r="L618">
        <v>0</v>
      </c>
      <c r="M618">
        <v>2019</v>
      </c>
      <c r="N618">
        <v>4</v>
      </c>
      <c r="O618">
        <v>4</v>
      </c>
      <c r="P618">
        <v>2</v>
      </c>
      <c r="Q618" s="2" t="s">
        <v>17</v>
      </c>
    </row>
    <row r="619" spans="1:17" x14ac:dyDescent="0.3">
      <c r="A619" s="1">
        <v>43584</v>
      </c>
      <c r="B619" s="3">
        <v>121</v>
      </c>
      <c r="C619" s="3">
        <v>121</v>
      </c>
      <c r="D619" s="3">
        <v>121</v>
      </c>
      <c r="E619" s="3">
        <v>121</v>
      </c>
      <c r="F619" s="4">
        <v>4469300</v>
      </c>
      <c r="G619" s="3">
        <v>121</v>
      </c>
      <c r="H619">
        <v>0</v>
      </c>
      <c r="I619">
        <v>121</v>
      </c>
      <c r="J619">
        <v>123</v>
      </c>
      <c r="K619">
        <v>118</v>
      </c>
      <c r="L619">
        <v>0</v>
      </c>
      <c r="M619">
        <v>2019</v>
      </c>
      <c r="N619">
        <v>4</v>
      </c>
      <c r="O619">
        <v>0</v>
      </c>
      <c r="P619">
        <v>2</v>
      </c>
      <c r="Q619" s="2" t="s">
        <v>17</v>
      </c>
    </row>
    <row r="620" spans="1:17" x14ac:dyDescent="0.3">
      <c r="A620" s="1">
        <v>43585</v>
      </c>
      <c r="B620" s="3">
        <v>121</v>
      </c>
      <c r="C620" s="3">
        <v>121</v>
      </c>
      <c r="D620" s="3">
        <v>121</v>
      </c>
      <c r="E620" s="3">
        <v>121</v>
      </c>
      <c r="F620" s="4">
        <v>4758600</v>
      </c>
      <c r="G620" s="3">
        <v>121</v>
      </c>
      <c r="H620">
        <v>0</v>
      </c>
      <c r="I620">
        <v>121</v>
      </c>
      <c r="J620">
        <v>123</v>
      </c>
      <c r="K620">
        <v>118</v>
      </c>
      <c r="L620">
        <v>0</v>
      </c>
      <c r="M620">
        <v>2019</v>
      </c>
      <c r="N620">
        <v>4</v>
      </c>
      <c r="O620">
        <v>1</v>
      </c>
      <c r="P620">
        <v>2</v>
      </c>
      <c r="Q620" s="2" t="s">
        <v>17</v>
      </c>
    </row>
    <row r="621" spans="1:17" x14ac:dyDescent="0.3">
      <c r="A621" s="1">
        <v>43586</v>
      </c>
      <c r="B621" s="3">
        <v>120</v>
      </c>
      <c r="C621" s="3">
        <v>122</v>
      </c>
      <c r="D621" s="3">
        <v>120</v>
      </c>
      <c r="E621" s="3">
        <v>121</v>
      </c>
      <c r="F621" s="4">
        <v>12331800</v>
      </c>
      <c r="G621" s="3">
        <v>120</v>
      </c>
      <c r="H621">
        <v>-1</v>
      </c>
      <c r="I621">
        <v>121</v>
      </c>
      <c r="J621">
        <v>123</v>
      </c>
      <c r="K621">
        <v>118</v>
      </c>
      <c r="L621">
        <v>0</v>
      </c>
      <c r="M621">
        <v>2019</v>
      </c>
      <c r="N621">
        <v>5</v>
      </c>
      <c r="O621">
        <v>2</v>
      </c>
      <c r="P621">
        <v>2</v>
      </c>
      <c r="Q621" s="2" t="s">
        <v>17</v>
      </c>
    </row>
    <row r="622" spans="1:17" x14ac:dyDescent="0.3">
      <c r="A622" s="1">
        <v>43587</v>
      </c>
      <c r="B622" s="3">
        <v>120</v>
      </c>
      <c r="C622" s="3">
        <v>120</v>
      </c>
      <c r="D622" s="3">
        <v>120</v>
      </c>
      <c r="E622" s="3">
        <v>120</v>
      </c>
      <c r="F622" s="4">
        <v>6759600</v>
      </c>
      <c r="G622" s="3">
        <v>120</v>
      </c>
      <c r="H622">
        <v>0</v>
      </c>
      <c r="I622">
        <v>121</v>
      </c>
      <c r="J622">
        <v>122</v>
      </c>
      <c r="K622">
        <v>118</v>
      </c>
      <c r="L622">
        <v>0</v>
      </c>
      <c r="M622">
        <v>2019</v>
      </c>
      <c r="N622">
        <v>5</v>
      </c>
      <c r="O622">
        <v>3</v>
      </c>
      <c r="P622">
        <v>2</v>
      </c>
      <c r="Q622" s="2" t="s">
        <v>17</v>
      </c>
    </row>
    <row r="623" spans="1:17" x14ac:dyDescent="0.3">
      <c r="A623" s="1">
        <v>43588</v>
      </c>
      <c r="B623" s="3">
        <v>121</v>
      </c>
      <c r="C623" s="3">
        <v>121</v>
      </c>
      <c r="D623" s="3">
        <v>120</v>
      </c>
      <c r="E623" s="3">
        <v>121</v>
      </c>
      <c r="F623" s="4">
        <v>8414400</v>
      </c>
      <c r="G623" s="3">
        <v>121</v>
      </c>
      <c r="H623">
        <v>1</v>
      </c>
      <c r="I623">
        <v>121</v>
      </c>
      <c r="J623">
        <v>122</v>
      </c>
      <c r="K623">
        <v>118</v>
      </c>
      <c r="L623">
        <v>1</v>
      </c>
      <c r="M623">
        <v>2019</v>
      </c>
      <c r="N623">
        <v>5</v>
      </c>
      <c r="O623">
        <v>4</v>
      </c>
      <c r="P623">
        <v>2</v>
      </c>
      <c r="Q623" s="2" t="s">
        <v>17</v>
      </c>
    </row>
    <row r="624" spans="1:17" x14ac:dyDescent="0.3">
      <c r="A624" s="1">
        <v>43591</v>
      </c>
      <c r="B624" s="3">
        <v>121</v>
      </c>
      <c r="C624" s="3">
        <v>121</v>
      </c>
      <c r="D624" s="3">
        <v>121</v>
      </c>
      <c r="E624" s="3">
        <v>121</v>
      </c>
      <c r="F624" s="4">
        <v>3479600</v>
      </c>
      <c r="G624" s="3">
        <v>121</v>
      </c>
      <c r="H624">
        <v>0</v>
      </c>
      <c r="I624">
        <v>121</v>
      </c>
      <c r="J624">
        <v>122</v>
      </c>
      <c r="K624">
        <v>118</v>
      </c>
      <c r="L624">
        <v>1</v>
      </c>
      <c r="M624">
        <v>2019</v>
      </c>
      <c r="N624">
        <v>5</v>
      </c>
      <c r="O624">
        <v>0</v>
      </c>
      <c r="P624">
        <v>2</v>
      </c>
      <c r="Q624" s="2" t="s">
        <v>17</v>
      </c>
    </row>
    <row r="625" spans="1:17" x14ac:dyDescent="0.3">
      <c r="A625" s="1">
        <v>43592</v>
      </c>
      <c r="B625" s="3">
        <v>121</v>
      </c>
      <c r="C625" s="3">
        <v>121</v>
      </c>
      <c r="D625" s="3">
        <v>121</v>
      </c>
      <c r="E625" s="3">
        <v>121</v>
      </c>
      <c r="F625" s="4">
        <v>4010700</v>
      </c>
      <c r="G625" s="3">
        <v>121</v>
      </c>
      <c r="H625">
        <v>0</v>
      </c>
      <c r="I625">
        <v>121</v>
      </c>
      <c r="J625">
        <v>122</v>
      </c>
      <c r="K625">
        <v>118</v>
      </c>
      <c r="L625">
        <v>1</v>
      </c>
      <c r="M625">
        <v>2019</v>
      </c>
      <c r="N625">
        <v>5</v>
      </c>
      <c r="O625">
        <v>1</v>
      </c>
      <c r="P625">
        <v>2</v>
      </c>
      <c r="Q625" s="2" t="s">
        <v>17</v>
      </c>
    </row>
    <row r="626" spans="1:17" x14ac:dyDescent="0.3">
      <c r="A626" s="1">
        <v>43593</v>
      </c>
      <c r="B626" s="3">
        <v>121</v>
      </c>
      <c r="C626" s="3">
        <v>122</v>
      </c>
      <c r="D626" s="3">
        <v>121</v>
      </c>
      <c r="E626" s="3">
        <v>122</v>
      </c>
      <c r="F626" s="4">
        <v>4178800</v>
      </c>
      <c r="G626" s="3">
        <v>121</v>
      </c>
      <c r="H626">
        <v>0</v>
      </c>
      <c r="I626">
        <v>121</v>
      </c>
      <c r="J626">
        <v>122</v>
      </c>
      <c r="K626">
        <v>118</v>
      </c>
      <c r="L626">
        <v>0</v>
      </c>
      <c r="M626">
        <v>2019</v>
      </c>
      <c r="N626">
        <v>5</v>
      </c>
      <c r="O626">
        <v>2</v>
      </c>
      <c r="P626">
        <v>2</v>
      </c>
      <c r="Q626" s="2" t="s">
        <v>17</v>
      </c>
    </row>
    <row r="627" spans="1:17" x14ac:dyDescent="0.3">
      <c r="A627" s="1">
        <v>43594</v>
      </c>
      <c r="B627" s="3">
        <v>121</v>
      </c>
      <c r="C627" s="3">
        <v>122</v>
      </c>
      <c r="D627" s="3">
        <v>121</v>
      </c>
      <c r="E627" s="3">
        <v>121</v>
      </c>
      <c r="F627" s="4">
        <v>5015500</v>
      </c>
      <c r="G627" s="3">
        <v>121</v>
      </c>
      <c r="H627">
        <v>0</v>
      </c>
      <c r="I627">
        <v>121</v>
      </c>
      <c r="J627">
        <v>122</v>
      </c>
      <c r="K627">
        <v>118</v>
      </c>
      <c r="L627">
        <v>0</v>
      </c>
      <c r="M627">
        <v>2019</v>
      </c>
      <c r="N627">
        <v>5</v>
      </c>
      <c r="O627">
        <v>3</v>
      </c>
      <c r="P627">
        <v>2</v>
      </c>
      <c r="Q627" s="2" t="s">
        <v>17</v>
      </c>
    </row>
    <row r="628" spans="1:17" x14ac:dyDescent="0.3">
      <c r="A628" s="1">
        <v>43595</v>
      </c>
      <c r="B628" s="3">
        <v>121</v>
      </c>
      <c r="C628" s="3">
        <v>122</v>
      </c>
      <c r="D628" s="3">
        <v>121</v>
      </c>
      <c r="E628" s="3">
        <v>121</v>
      </c>
      <c r="F628" s="4">
        <v>4586000</v>
      </c>
      <c r="G628" s="3">
        <v>121</v>
      </c>
      <c r="H628">
        <v>0</v>
      </c>
      <c r="I628">
        <v>121</v>
      </c>
      <c r="J628">
        <v>122</v>
      </c>
      <c r="K628">
        <v>118</v>
      </c>
      <c r="L628">
        <v>0</v>
      </c>
      <c r="M628">
        <v>2019</v>
      </c>
      <c r="N628">
        <v>5</v>
      </c>
      <c r="O628">
        <v>4</v>
      </c>
      <c r="P628">
        <v>2</v>
      </c>
      <c r="Q628" s="2" t="s">
        <v>17</v>
      </c>
    </row>
    <row r="629" spans="1:17" x14ac:dyDescent="0.3">
      <c r="A629" s="1">
        <v>43598</v>
      </c>
      <c r="B629" s="3">
        <v>123</v>
      </c>
      <c r="C629" s="3">
        <v>123</v>
      </c>
      <c r="D629" s="3">
        <v>122</v>
      </c>
      <c r="E629" s="3">
        <v>123</v>
      </c>
      <c r="F629" s="4">
        <v>11130900</v>
      </c>
      <c r="G629" s="3">
        <v>123</v>
      </c>
      <c r="H629">
        <v>1</v>
      </c>
      <c r="I629">
        <v>121</v>
      </c>
      <c r="J629">
        <v>122</v>
      </c>
      <c r="K629">
        <v>119</v>
      </c>
      <c r="L629">
        <v>0</v>
      </c>
      <c r="M629">
        <v>2019</v>
      </c>
      <c r="N629">
        <v>5</v>
      </c>
      <c r="O629">
        <v>0</v>
      </c>
      <c r="P629">
        <v>2</v>
      </c>
      <c r="Q629" s="2" t="s">
        <v>17</v>
      </c>
    </row>
    <row r="630" spans="1:17" x14ac:dyDescent="0.3">
      <c r="A630" s="1">
        <v>43599</v>
      </c>
      <c r="B630" s="3">
        <v>122</v>
      </c>
      <c r="C630" s="3">
        <v>123</v>
      </c>
      <c r="D630" s="3">
        <v>122</v>
      </c>
      <c r="E630" s="3">
        <v>123</v>
      </c>
      <c r="F630" s="4">
        <v>5556000</v>
      </c>
      <c r="G630" s="3">
        <v>122</v>
      </c>
      <c r="H630">
        <v>0</v>
      </c>
      <c r="I630">
        <v>121</v>
      </c>
      <c r="J630">
        <v>122</v>
      </c>
      <c r="K630">
        <v>119</v>
      </c>
      <c r="L630">
        <v>0</v>
      </c>
      <c r="M630">
        <v>2019</v>
      </c>
      <c r="N630">
        <v>5</v>
      </c>
      <c r="O630">
        <v>1</v>
      </c>
      <c r="P630">
        <v>2</v>
      </c>
      <c r="Q630" s="2" t="s">
        <v>17</v>
      </c>
    </row>
    <row r="631" spans="1:17" x14ac:dyDescent="0.3">
      <c r="A631" s="1">
        <v>43600</v>
      </c>
      <c r="B631" s="3">
        <v>122</v>
      </c>
      <c r="C631" s="3">
        <v>123</v>
      </c>
      <c r="D631" s="3">
        <v>122</v>
      </c>
      <c r="E631" s="3">
        <v>123</v>
      </c>
      <c r="F631" s="4">
        <v>10299000</v>
      </c>
      <c r="G631" s="3">
        <v>122</v>
      </c>
      <c r="H631">
        <v>0</v>
      </c>
      <c r="I631">
        <v>121</v>
      </c>
      <c r="J631">
        <v>122</v>
      </c>
      <c r="K631">
        <v>119</v>
      </c>
      <c r="L631">
        <v>0</v>
      </c>
      <c r="M631">
        <v>2019</v>
      </c>
      <c r="N631">
        <v>5</v>
      </c>
      <c r="O631">
        <v>2</v>
      </c>
      <c r="P631">
        <v>2</v>
      </c>
      <c r="Q631" s="2" t="s">
        <v>17</v>
      </c>
    </row>
    <row r="632" spans="1:17" x14ac:dyDescent="0.3">
      <c r="A632" s="1">
        <v>43601</v>
      </c>
      <c r="B632" s="3">
        <v>122</v>
      </c>
      <c r="C632" s="3">
        <v>122</v>
      </c>
      <c r="D632" s="3">
        <v>121</v>
      </c>
      <c r="E632" s="3">
        <v>122</v>
      </c>
      <c r="F632" s="4">
        <v>6349400</v>
      </c>
      <c r="G632" s="3">
        <v>122</v>
      </c>
      <c r="H632">
        <v>-1</v>
      </c>
      <c r="I632">
        <v>121</v>
      </c>
      <c r="J632">
        <v>122</v>
      </c>
      <c r="K632">
        <v>119</v>
      </c>
      <c r="L632">
        <v>0</v>
      </c>
      <c r="M632">
        <v>2019</v>
      </c>
      <c r="N632">
        <v>5</v>
      </c>
      <c r="O632">
        <v>3</v>
      </c>
      <c r="P632">
        <v>2</v>
      </c>
      <c r="Q632" s="2" t="s">
        <v>17</v>
      </c>
    </row>
    <row r="633" spans="1:17" x14ac:dyDescent="0.3">
      <c r="A633" s="1">
        <v>43602</v>
      </c>
      <c r="B633" s="3">
        <v>121</v>
      </c>
      <c r="C633" s="3">
        <v>121</v>
      </c>
      <c r="D633" s="3">
        <v>120</v>
      </c>
      <c r="E633" s="3">
        <v>121</v>
      </c>
      <c r="F633" s="4">
        <v>6589300</v>
      </c>
      <c r="G633" s="3">
        <v>121</v>
      </c>
      <c r="H633">
        <v>-1</v>
      </c>
      <c r="I633">
        <v>121</v>
      </c>
      <c r="J633">
        <v>122</v>
      </c>
      <c r="K633">
        <v>119</v>
      </c>
      <c r="L633">
        <v>0</v>
      </c>
      <c r="M633">
        <v>2019</v>
      </c>
      <c r="N633">
        <v>5</v>
      </c>
      <c r="O633">
        <v>4</v>
      </c>
      <c r="P633">
        <v>2</v>
      </c>
      <c r="Q633" s="2" t="s">
        <v>17</v>
      </c>
    </row>
    <row r="634" spans="1:17" x14ac:dyDescent="0.3">
      <c r="A634" s="1">
        <v>43605</v>
      </c>
      <c r="B634" s="3">
        <v>121</v>
      </c>
      <c r="C634" s="3">
        <v>121</v>
      </c>
      <c r="D634" s="3">
        <v>120</v>
      </c>
      <c r="E634" s="3">
        <v>121</v>
      </c>
      <c r="F634" s="4">
        <v>4345800</v>
      </c>
      <c r="G634" s="3">
        <v>121</v>
      </c>
      <c r="H634">
        <v>0</v>
      </c>
      <c r="I634">
        <v>121</v>
      </c>
      <c r="J634">
        <v>122</v>
      </c>
      <c r="K634">
        <v>119</v>
      </c>
      <c r="L634">
        <v>0</v>
      </c>
      <c r="M634">
        <v>2019</v>
      </c>
      <c r="N634">
        <v>5</v>
      </c>
      <c r="O634">
        <v>0</v>
      </c>
      <c r="P634">
        <v>2</v>
      </c>
      <c r="Q634" s="2" t="s">
        <v>17</v>
      </c>
    </row>
    <row r="635" spans="1:17" x14ac:dyDescent="0.3">
      <c r="A635" s="1">
        <v>43606</v>
      </c>
      <c r="B635" s="3">
        <v>120</v>
      </c>
      <c r="C635" s="3">
        <v>120</v>
      </c>
      <c r="D635" s="3">
        <v>120</v>
      </c>
      <c r="E635" s="3">
        <v>120</v>
      </c>
      <c r="F635" s="4">
        <v>3845600</v>
      </c>
      <c r="G635" s="3">
        <v>120</v>
      </c>
      <c r="H635">
        <v>0</v>
      </c>
      <c r="I635">
        <v>121</v>
      </c>
      <c r="J635">
        <v>122</v>
      </c>
      <c r="K635">
        <v>119</v>
      </c>
      <c r="L635">
        <v>0</v>
      </c>
      <c r="M635">
        <v>2019</v>
      </c>
      <c r="N635">
        <v>5</v>
      </c>
      <c r="O635">
        <v>1</v>
      </c>
      <c r="P635">
        <v>2</v>
      </c>
      <c r="Q635" s="2" t="s">
        <v>17</v>
      </c>
    </row>
    <row r="636" spans="1:17" x14ac:dyDescent="0.3">
      <c r="A636" s="1">
        <v>43607</v>
      </c>
      <c r="B636" s="3">
        <v>120</v>
      </c>
      <c r="C636" s="3">
        <v>121</v>
      </c>
      <c r="D636" s="3">
        <v>120</v>
      </c>
      <c r="E636" s="3">
        <v>120</v>
      </c>
      <c r="F636" s="4">
        <v>3741800</v>
      </c>
      <c r="G636" s="3">
        <v>120</v>
      </c>
      <c r="H636">
        <v>0</v>
      </c>
      <c r="I636">
        <v>121</v>
      </c>
      <c r="J636">
        <v>122</v>
      </c>
      <c r="K636">
        <v>119</v>
      </c>
      <c r="L636">
        <v>0</v>
      </c>
      <c r="M636">
        <v>2019</v>
      </c>
      <c r="N636">
        <v>5</v>
      </c>
      <c r="O636">
        <v>2</v>
      </c>
      <c r="P636">
        <v>2</v>
      </c>
      <c r="Q636" s="2" t="s">
        <v>17</v>
      </c>
    </row>
    <row r="637" spans="1:17" x14ac:dyDescent="0.3">
      <c r="A637" s="1">
        <v>43608</v>
      </c>
      <c r="B637" s="3">
        <v>121</v>
      </c>
      <c r="C637" s="3">
        <v>122</v>
      </c>
      <c r="D637" s="3">
        <v>121</v>
      </c>
      <c r="E637" s="3">
        <v>121</v>
      </c>
      <c r="F637" s="4">
        <v>6054600</v>
      </c>
      <c r="G637" s="3">
        <v>121</v>
      </c>
      <c r="H637">
        <v>1</v>
      </c>
      <c r="I637">
        <v>121</v>
      </c>
      <c r="J637">
        <v>122</v>
      </c>
      <c r="K637">
        <v>119</v>
      </c>
      <c r="L637">
        <v>0</v>
      </c>
      <c r="M637">
        <v>2019</v>
      </c>
      <c r="N637">
        <v>5</v>
      </c>
      <c r="O637">
        <v>3</v>
      </c>
      <c r="P637">
        <v>2</v>
      </c>
      <c r="Q637" s="2" t="s">
        <v>17</v>
      </c>
    </row>
    <row r="638" spans="1:17" x14ac:dyDescent="0.3">
      <c r="A638" s="1">
        <v>43609</v>
      </c>
      <c r="B638" s="3">
        <v>121</v>
      </c>
      <c r="C638" s="3">
        <v>121</v>
      </c>
      <c r="D638" s="3">
        <v>121</v>
      </c>
      <c r="E638" s="3">
        <v>121</v>
      </c>
      <c r="F638" s="4">
        <v>2324700</v>
      </c>
      <c r="G638" s="3">
        <v>121</v>
      </c>
      <c r="H638">
        <v>0</v>
      </c>
      <c r="I638">
        <v>121</v>
      </c>
      <c r="J638">
        <v>122</v>
      </c>
      <c r="K638">
        <v>119</v>
      </c>
      <c r="L638">
        <v>0</v>
      </c>
      <c r="M638">
        <v>2019</v>
      </c>
      <c r="N638">
        <v>5</v>
      </c>
      <c r="O638">
        <v>4</v>
      </c>
      <c r="P638">
        <v>2</v>
      </c>
      <c r="Q638" s="2" t="s">
        <v>17</v>
      </c>
    </row>
    <row r="639" spans="1:17" x14ac:dyDescent="0.3">
      <c r="A639" s="1">
        <v>43613</v>
      </c>
      <c r="B639" s="3">
        <v>121</v>
      </c>
      <c r="C639" s="3">
        <v>121</v>
      </c>
      <c r="D639" s="3">
        <v>120</v>
      </c>
      <c r="E639" s="3">
        <v>121</v>
      </c>
      <c r="F639" s="4">
        <v>4303500</v>
      </c>
      <c r="G639" s="3">
        <v>121</v>
      </c>
      <c r="H639">
        <v>0</v>
      </c>
      <c r="I639">
        <v>121</v>
      </c>
      <c r="J639">
        <v>122</v>
      </c>
      <c r="K639">
        <v>119</v>
      </c>
      <c r="L639">
        <v>0</v>
      </c>
      <c r="M639">
        <v>2019</v>
      </c>
      <c r="N639">
        <v>5</v>
      </c>
      <c r="O639">
        <v>1</v>
      </c>
      <c r="P639">
        <v>2</v>
      </c>
      <c r="Q639" s="2" t="s">
        <v>17</v>
      </c>
    </row>
    <row r="640" spans="1:17" x14ac:dyDescent="0.3">
      <c r="A640" s="1">
        <v>43614</v>
      </c>
      <c r="B640" s="3">
        <v>121</v>
      </c>
      <c r="C640" s="3">
        <v>121</v>
      </c>
      <c r="D640" s="3">
        <v>121</v>
      </c>
      <c r="E640" s="3">
        <v>121</v>
      </c>
      <c r="F640" s="4">
        <v>4133200</v>
      </c>
      <c r="G640" s="3">
        <v>121</v>
      </c>
      <c r="H640">
        <v>0</v>
      </c>
      <c r="I640">
        <v>121</v>
      </c>
      <c r="J640">
        <v>122</v>
      </c>
      <c r="K640">
        <v>119</v>
      </c>
      <c r="L640">
        <v>0</v>
      </c>
      <c r="M640">
        <v>2019</v>
      </c>
      <c r="N640">
        <v>5</v>
      </c>
      <c r="O640">
        <v>2</v>
      </c>
      <c r="P640">
        <v>2</v>
      </c>
      <c r="Q640" s="2" t="s">
        <v>17</v>
      </c>
    </row>
    <row r="641" spans="1:17" x14ac:dyDescent="0.3">
      <c r="A641" s="1">
        <v>43615</v>
      </c>
      <c r="B641" s="3">
        <v>122</v>
      </c>
      <c r="C641" s="3">
        <v>122</v>
      </c>
      <c r="D641" s="3">
        <v>121</v>
      </c>
      <c r="E641" s="3">
        <v>121</v>
      </c>
      <c r="F641" s="4">
        <v>7757000</v>
      </c>
      <c r="G641" s="3">
        <v>122</v>
      </c>
      <c r="H641">
        <v>1</v>
      </c>
      <c r="I641">
        <v>121</v>
      </c>
      <c r="J641">
        <v>122</v>
      </c>
      <c r="K641">
        <v>119</v>
      </c>
      <c r="L641">
        <v>0</v>
      </c>
      <c r="M641">
        <v>2019</v>
      </c>
      <c r="N641">
        <v>5</v>
      </c>
      <c r="O641">
        <v>3</v>
      </c>
      <c r="P641">
        <v>2</v>
      </c>
      <c r="Q641" s="2" t="s">
        <v>17</v>
      </c>
    </row>
    <row r="642" spans="1:17" x14ac:dyDescent="0.3">
      <c r="A642" s="1">
        <v>43616</v>
      </c>
      <c r="B642" s="3">
        <v>123</v>
      </c>
      <c r="C642" s="3">
        <v>123</v>
      </c>
      <c r="D642" s="3">
        <v>122</v>
      </c>
      <c r="E642" s="3">
        <v>123</v>
      </c>
      <c r="F642" s="4">
        <v>15367000</v>
      </c>
      <c r="G642" s="3">
        <v>123</v>
      </c>
      <c r="H642">
        <v>1</v>
      </c>
      <c r="I642">
        <v>121</v>
      </c>
      <c r="J642">
        <v>122</v>
      </c>
      <c r="K642">
        <v>119</v>
      </c>
      <c r="L642">
        <v>1</v>
      </c>
      <c r="M642">
        <v>2019</v>
      </c>
      <c r="N642">
        <v>5</v>
      </c>
      <c r="O642">
        <v>4</v>
      </c>
      <c r="P642">
        <v>2</v>
      </c>
      <c r="Q642" s="2" t="s">
        <v>17</v>
      </c>
    </row>
    <row r="643" spans="1:17" x14ac:dyDescent="0.3">
      <c r="A643" s="1">
        <v>43619</v>
      </c>
      <c r="B643" s="3">
        <v>125</v>
      </c>
      <c r="C643" s="3">
        <v>125</v>
      </c>
      <c r="D643" s="3">
        <v>124</v>
      </c>
      <c r="E643" s="3">
        <v>124</v>
      </c>
      <c r="F643" s="4">
        <v>14173600</v>
      </c>
      <c r="G643" s="3">
        <v>125</v>
      </c>
      <c r="H643">
        <v>1</v>
      </c>
      <c r="I643">
        <v>122</v>
      </c>
      <c r="J643">
        <v>122</v>
      </c>
      <c r="K643">
        <v>119</v>
      </c>
      <c r="L643">
        <v>1</v>
      </c>
      <c r="M643">
        <v>2019</v>
      </c>
      <c r="N643">
        <v>6</v>
      </c>
      <c r="O643">
        <v>0</v>
      </c>
      <c r="P643">
        <v>2</v>
      </c>
      <c r="Q643" s="2" t="s">
        <v>17</v>
      </c>
    </row>
    <row r="644" spans="1:17" x14ac:dyDescent="0.3">
      <c r="A644" s="1">
        <v>43620</v>
      </c>
      <c r="B644" s="3">
        <v>125</v>
      </c>
      <c r="C644" s="3">
        <v>125</v>
      </c>
      <c r="D644" s="3">
        <v>125</v>
      </c>
      <c r="E644" s="3">
        <v>125</v>
      </c>
      <c r="F644" s="4">
        <v>7997100</v>
      </c>
      <c r="G644" s="3">
        <v>125</v>
      </c>
      <c r="H644">
        <v>0</v>
      </c>
      <c r="I644">
        <v>122</v>
      </c>
      <c r="J644">
        <v>122</v>
      </c>
      <c r="K644">
        <v>119</v>
      </c>
      <c r="L644">
        <v>1</v>
      </c>
      <c r="M644">
        <v>2019</v>
      </c>
      <c r="N644">
        <v>6</v>
      </c>
      <c r="O644">
        <v>1</v>
      </c>
      <c r="P644">
        <v>2</v>
      </c>
      <c r="Q644" s="2" t="s">
        <v>17</v>
      </c>
    </row>
    <row r="645" spans="1:17" x14ac:dyDescent="0.3">
      <c r="A645" s="1">
        <v>43621</v>
      </c>
      <c r="B645" s="3">
        <v>125</v>
      </c>
      <c r="C645" s="3">
        <v>126</v>
      </c>
      <c r="D645" s="3">
        <v>125</v>
      </c>
      <c r="E645" s="3">
        <v>126</v>
      </c>
      <c r="F645" s="4">
        <v>7637900</v>
      </c>
      <c r="G645" s="3">
        <v>125</v>
      </c>
      <c r="H645">
        <v>0</v>
      </c>
      <c r="I645">
        <v>122</v>
      </c>
      <c r="J645">
        <v>122</v>
      </c>
      <c r="K645">
        <v>119</v>
      </c>
      <c r="L645">
        <v>1</v>
      </c>
      <c r="M645">
        <v>2019</v>
      </c>
      <c r="N645">
        <v>6</v>
      </c>
      <c r="O645">
        <v>2</v>
      </c>
      <c r="P645">
        <v>2</v>
      </c>
      <c r="Q645" s="2" t="s">
        <v>17</v>
      </c>
    </row>
    <row r="646" spans="1:17" x14ac:dyDescent="0.3">
      <c r="A646" s="1">
        <v>43622</v>
      </c>
      <c r="B646" s="3">
        <v>126</v>
      </c>
      <c r="C646" s="3">
        <v>126</v>
      </c>
      <c r="D646" s="3">
        <v>126</v>
      </c>
      <c r="E646" s="3">
        <v>126</v>
      </c>
      <c r="F646" s="4">
        <v>5551800</v>
      </c>
      <c r="G646" s="3">
        <v>126</v>
      </c>
      <c r="H646">
        <v>0</v>
      </c>
      <c r="I646">
        <v>122</v>
      </c>
      <c r="J646">
        <v>122</v>
      </c>
      <c r="K646">
        <v>119</v>
      </c>
      <c r="L646">
        <v>1</v>
      </c>
      <c r="M646">
        <v>2019</v>
      </c>
      <c r="N646">
        <v>6</v>
      </c>
      <c r="O646">
        <v>3</v>
      </c>
      <c r="P646">
        <v>2</v>
      </c>
      <c r="Q646" s="2" t="s">
        <v>17</v>
      </c>
    </row>
    <row r="647" spans="1:17" x14ac:dyDescent="0.3">
      <c r="A647" s="1">
        <v>43623</v>
      </c>
      <c r="B647" s="3">
        <v>127</v>
      </c>
      <c r="C647" s="3">
        <v>127</v>
      </c>
      <c r="D647" s="3">
        <v>126</v>
      </c>
      <c r="E647" s="3">
        <v>127</v>
      </c>
      <c r="F647" s="4">
        <v>8145900</v>
      </c>
      <c r="G647" s="3">
        <v>127</v>
      </c>
      <c r="H647">
        <v>1</v>
      </c>
      <c r="I647">
        <v>122</v>
      </c>
      <c r="J647">
        <v>122</v>
      </c>
      <c r="K647">
        <v>119</v>
      </c>
      <c r="L647">
        <v>1</v>
      </c>
      <c r="M647">
        <v>2019</v>
      </c>
      <c r="N647">
        <v>6</v>
      </c>
      <c r="O647">
        <v>4</v>
      </c>
      <c r="P647">
        <v>2</v>
      </c>
      <c r="Q647" s="2" t="s">
        <v>17</v>
      </c>
    </row>
    <row r="648" spans="1:17" x14ac:dyDescent="0.3">
      <c r="A648" s="1">
        <v>43626</v>
      </c>
      <c r="B648" s="3">
        <v>125</v>
      </c>
      <c r="C648" s="3">
        <v>126</v>
      </c>
      <c r="D648" s="3">
        <v>125</v>
      </c>
      <c r="E648" s="3">
        <v>125</v>
      </c>
      <c r="F648" s="4">
        <v>5410000</v>
      </c>
      <c r="G648" s="3">
        <v>125</v>
      </c>
      <c r="H648">
        <v>-1</v>
      </c>
      <c r="I648">
        <v>123</v>
      </c>
      <c r="J648">
        <v>122</v>
      </c>
      <c r="K648">
        <v>119</v>
      </c>
      <c r="L648">
        <v>1</v>
      </c>
      <c r="M648">
        <v>2019</v>
      </c>
      <c r="N648">
        <v>6</v>
      </c>
      <c r="O648">
        <v>0</v>
      </c>
      <c r="P648">
        <v>2</v>
      </c>
      <c r="Q648" s="2" t="s">
        <v>17</v>
      </c>
    </row>
    <row r="649" spans="1:17" x14ac:dyDescent="0.3">
      <c r="A649" s="1">
        <v>43627</v>
      </c>
      <c r="B649" s="3">
        <v>125</v>
      </c>
      <c r="C649" s="3">
        <v>125</v>
      </c>
      <c r="D649" s="3">
        <v>125</v>
      </c>
      <c r="E649" s="3">
        <v>125</v>
      </c>
      <c r="F649" s="4">
        <v>4757800</v>
      </c>
      <c r="G649" s="3">
        <v>125</v>
      </c>
      <c r="H649">
        <v>0</v>
      </c>
      <c r="I649">
        <v>123</v>
      </c>
      <c r="J649">
        <v>122</v>
      </c>
      <c r="K649">
        <v>119</v>
      </c>
      <c r="L649">
        <v>1</v>
      </c>
      <c r="M649">
        <v>2019</v>
      </c>
      <c r="N649">
        <v>6</v>
      </c>
      <c r="O649">
        <v>1</v>
      </c>
      <c r="P649">
        <v>2</v>
      </c>
      <c r="Q649" s="2" t="s">
        <v>17</v>
      </c>
    </row>
    <row r="650" spans="1:17" x14ac:dyDescent="0.3">
      <c r="A650" s="1">
        <v>43628</v>
      </c>
      <c r="B650" s="3">
        <v>126</v>
      </c>
      <c r="C650" s="3">
        <v>126</v>
      </c>
      <c r="D650" s="3">
        <v>126</v>
      </c>
      <c r="E650" s="3">
        <v>126</v>
      </c>
      <c r="F650" s="4">
        <v>5756200</v>
      </c>
      <c r="G650" s="3">
        <v>126</v>
      </c>
      <c r="H650">
        <v>1</v>
      </c>
      <c r="I650">
        <v>123</v>
      </c>
      <c r="J650">
        <v>122</v>
      </c>
      <c r="K650">
        <v>119</v>
      </c>
      <c r="L650">
        <v>1</v>
      </c>
      <c r="M650">
        <v>2019</v>
      </c>
      <c r="N650">
        <v>6</v>
      </c>
      <c r="O650">
        <v>2</v>
      </c>
      <c r="P650">
        <v>2</v>
      </c>
      <c r="Q650" s="2" t="s">
        <v>17</v>
      </c>
    </row>
    <row r="651" spans="1:17" x14ac:dyDescent="0.3">
      <c r="A651" s="1">
        <v>43629</v>
      </c>
      <c r="B651" s="3">
        <v>127</v>
      </c>
      <c r="C651" s="3">
        <v>127</v>
      </c>
      <c r="D651" s="3">
        <v>126</v>
      </c>
      <c r="E651" s="3">
        <v>126</v>
      </c>
      <c r="F651" s="4">
        <v>5374800</v>
      </c>
      <c r="G651" s="3">
        <v>127</v>
      </c>
      <c r="H651">
        <v>1</v>
      </c>
      <c r="I651">
        <v>123</v>
      </c>
      <c r="J651">
        <v>122</v>
      </c>
      <c r="K651">
        <v>120</v>
      </c>
      <c r="L651">
        <v>1</v>
      </c>
      <c r="M651">
        <v>2019</v>
      </c>
      <c r="N651">
        <v>6</v>
      </c>
      <c r="O651">
        <v>3</v>
      </c>
      <c r="P651">
        <v>2</v>
      </c>
      <c r="Q651" s="2" t="s">
        <v>17</v>
      </c>
    </row>
    <row r="652" spans="1:17" x14ac:dyDescent="0.3">
      <c r="A652" s="1">
        <v>43630</v>
      </c>
      <c r="B652" s="3">
        <v>127</v>
      </c>
      <c r="C652" s="3">
        <v>128</v>
      </c>
      <c r="D652" s="3">
        <v>126</v>
      </c>
      <c r="E652" s="3">
        <v>127</v>
      </c>
      <c r="F652" s="4">
        <v>9226100</v>
      </c>
      <c r="G652" s="3">
        <v>127</v>
      </c>
      <c r="H652">
        <v>0</v>
      </c>
      <c r="I652">
        <v>123</v>
      </c>
      <c r="J652">
        <v>122</v>
      </c>
      <c r="K652">
        <v>120</v>
      </c>
      <c r="L652">
        <v>1</v>
      </c>
      <c r="M652">
        <v>2019</v>
      </c>
      <c r="N652">
        <v>6</v>
      </c>
      <c r="O652">
        <v>4</v>
      </c>
      <c r="P652">
        <v>2</v>
      </c>
      <c r="Q652" s="2" t="s">
        <v>17</v>
      </c>
    </row>
    <row r="653" spans="1:17" x14ac:dyDescent="0.3">
      <c r="A653" s="1">
        <v>43633</v>
      </c>
      <c r="B653" s="3">
        <v>126</v>
      </c>
      <c r="C653" s="3">
        <v>127</v>
      </c>
      <c r="D653" s="3">
        <v>126</v>
      </c>
      <c r="E653" s="3">
        <v>127</v>
      </c>
      <c r="F653" s="4">
        <v>4763300</v>
      </c>
      <c r="G653" s="3">
        <v>126</v>
      </c>
      <c r="H653">
        <v>0</v>
      </c>
      <c r="I653">
        <v>124</v>
      </c>
      <c r="J653">
        <v>122</v>
      </c>
      <c r="K653">
        <v>120</v>
      </c>
      <c r="L653">
        <v>1</v>
      </c>
      <c r="M653">
        <v>2019</v>
      </c>
      <c r="N653">
        <v>6</v>
      </c>
      <c r="O653">
        <v>0</v>
      </c>
      <c r="P653">
        <v>2</v>
      </c>
      <c r="Q653" s="2" t="s">
        <v>17</v>
      </c>
    </row>
    <row r="654" spans="1:17" x14ac:dyDescent="0.3">
      <c r="A654" s="1">
        <v>43634</v>
      </c>
      <c r="B654" s="3">
        <v>127</v>
      </c>
      <c r="C654" s="3">
        <v>128</v>
      </c>
      <c r="D654" s="3">
        <v>126</v>
      </c>
      <c r="E654" s="3">
        <v>128</v>
      </c>
      <c r="F654" s="4">
        <v>10309600</v>
      </c>
      <c r="G654" s="3">
        <v>127</v>
      </c>
      <c r="H654">
        <v>1</v>
      </c>
      <c r="I654">
        <v>124</v>
      </c>
      <c r="J654">
        <v>122</v>
      </c>
      <c r="K654">
        <v>120</v>
      </c>
      <c r="L654">
        <v>1</v>
      </c>
      <c r="M654">
        <v>2019</v>
      </c>
      <c r="N654">
        <v>6</v>
      </c>
      <c r="O654">
        <v>1</v>
      </c>
      <c r="P654">
        <v>2</v>
      </c>
      <c r="Q654" s="2" t="s">
        <v>17</v>
      </c>
    </row>
    <row r="655" spans="1:17" x14ac:dyDescent="0.3">
      <c r="A655" s="1">
        <v>43635</v>
      </c>
      <c r="B655" s="3">
        <v>128</v>
      </c>
      <c r="C655" s="3">
        <v>128</v>
      </c>
      <c r="D655" s="3">
        <v>127</v>
      </c>
      <c r="E655" s="3">
        <v>127</v>
      </c>
      <c r="F655" s="4">
        <v>11660600</v>
      </c>
      <c r="G655" s="3">
        <v>128</v>
      </c>
      <c r="H655">
        <v>1</v>
      </c>
      <c r="I655">
        <v>124</v>
      </c>
      <c r="J655">
        <v>122</v>
      </c>
      <c r="K655">
        <v>120</v>
      </c>
      <c r="L655">
        <v>1</v>
      </c>
      <c r="M655">
        <v>2019</v>
      </c>
      <c r="N655">
        <v>6</v>
      </c>
      <c r="O655">
        <v>2</v>
      </c>
      <c r="P655">
        <v>2</v>
      </c>
      <c r="Q655" s="2" t="s">
        <v>17</v>
      </c>
    </row>
    <row r="656" spans="1:17" x14ac:dyDescent="0.3">
      <c r="A656" s="1">
        <v>43636</v>
      </c>
      <c r="B656" s="3">
        <v>131</v>
      </c>
      <c r="C656" s="3">
        <v>131</v>
      </c>
      <c r="D656" s="3">
        <v>130</v>
      </c>
      <c r="E656" s="3">
        <v>130</v>
      </c>
      <c r="F656" s="4">
        <v>18636300</v>
      </c>
      <c r="G656" s="3">
        <v>131</v>
      </c>
      <c r="H656">
        <v>3</v>
      </c>
      <c r="I656">
        <v>125</v>
      </c>
      <c r="J656">
        <v>123</v>
      </c>
      <c r="K656">
        <v>120</v>
      </c>
      <c r="L656">
        <v>1</v>
      </c>
      <c r="M656">
        <v>2019</v>
      </c>
      <c r="N656">
        <v>6</v>
      </c>
      <c r="O656">
        <v>3</v>
      </c>
      <c r="P656">
        <v>2</v>
      </c>
      <c r="Q656" s="2" t="s">
        <v>17</v>
      </c>
    </row>
    <row r="657" spans="1:17" x14ac:dyDescent="0.3">
      <c r="A657" s="1">
        <v>43637</v>
      </c>
      <c r="B657" s="3">
        <v>132</v>
      </c>
      <c r="C657" s="3">
        <v>132</v>
      </c>
      <c r="D657" s="3">
        <v>131</v>
      </c>
      <c r="E657" s="3">
        <v>132</v>
      </c>
      <c r="F657" s="4">
        <v>15068000</v>
      </c>
      <c r="G657" s="3">
        <v>132</v>
      </c>
      <c r="H657">
        <v>1</v>
      </c>
      <c r="I657">
        <v>126</v>
      </c>
      <c r="J657">
        <v>123</v>
      </c>
      <c r="K657">
        <v>120</v>
      </c>
      <c r="L657">
        <v>1</v>
      </c>
      <c r="M657">
        <v>2019</v>
      </c>
      <c r="N657">
        <v>6</v>
      </c>
      <c r="O657">
        <v>4</v>
      </c>
      <c r="P657">
        <v>2</v>
      </c>
      <c r="Q657" s="2" t="s">
        <v>17</v>
      </c>
    </row>
    <row r="658" spans="1:17" x14ac:dyDescent="0.3">
      <c r="A658" s="1">
        <v>43640</v>
      </c>
      <c r="B658" s="3">
        <v>134</v>
      </c>
      <c r="C658" s="3">
        <v>134</v>
      </c>
      <c r="D658" s="3">
        <v>133</v>
      </c>
      <c r="E658" s="3">
        <v>133</v>
      </c>
      <c r="F658" s="4">
        <v>17851800</v>
      </c>
      <c r="G658" s="3">
        <v>134</v>
      </c>
      <c r="H658">
        <v>1</v>
      </c>
      <c r="I658">
        <v>126</v>
      </c>
      <c r="J658">
        <v>123</v>
      </c>
      <c r="K658">
        <v>120</v>
      </c>
      <c r="L658">
        <v>1</v>
      </c>
      <c r="M658">
        <v>2019</v>
      </c>
      <c r="N658">
        <v>6</v>
      </c>
      <c r="O658">
        <v>0</v>
      </c>
      <c r="P658">
        <v>2</v>
      </c>
      <c r="Q658" s="2" t="s">
        <v>17</v>
      </c>
    </row>
    <row r="659" spans="1:17" x14ac:dyDescent="0.3">
      <c r="A659" s="1">
        <v>43641</v>
      </c>
      <c r="B659" s="3">
        <v>134</v>
      </c>
      <c r="C659" s="3">
        <v>136</v>
      </c>
      <c r="D659" s="3">
        <v>133</v>
      </c>
      <c r="E659" s="3">
        <v>135</v>
      </c>
      <c r="F659" s="4">
        <v>24772200</v>
      </c>
      <c r="G659" s="3">
        <v>134</v>
      </c>
      <c r="H659">
        <v>0</v>
      </c>
      <c r="I659">
        <v>127</v>
      </c>
      <c r="J659">
        <v>123</v>
      </c>
      <c r="K659">
        <v>120</v>
      </c>
      <c r="L659">
        <v>1</v>
      </c>
      <c r="M659">
        <v>2019</v>
      </c>
      <c r="N659">
        <v>6</v>
      </c>
      <c r="O659">
        <v>1</v>
      </c>
      <c r="P659">
        <v>2</v>
      </c>
      <c r="Q659" s="2" t="s">
        <v>17</v>
      </c>
    </row>
    <row r="660" spans="1:17" x14ac:dyDescent="0.3">
      <c r="A660" s="1">
        <v>43642</v>
      </c>
      <c r="B660" s="3">
        <v>133</v>
      </c>
      <c r="C660" s="3">
        <v>134</v>
      </c>
      <c r="D660" s="3">
        <v>132</v>
      </c>
      <c r="E660" s="3">
        <v>133</v>
      </c>
      <c r="F660" s="4">
        <v>12016400</v>
      </c>
      <c r="G660" s="3">
        <v>133</v>
      </c>
      <c r="H660">
        <v>-1</v>
      </c>
      <c r="I660">
        <v>127</v>
      </c>
      <c r="J660">
        <v>124</v>
      </c>
      <c r="K660">
        <v>120</v>
      </c>
      <c r="L660">
        <v>1</v>
      </c>
      <c r="M660">
        <v>2019</v>
      </c>
      <c r="N660">
        <v>6</v>
      </c>
      <c r="O660">
        <v>2</v>
      </c>
      <c r="P660">
        <v>2</v>
      </c>
      <c r="Q660" s="2" t="s">
        <v>17</v>
      </c>
    </row>
    <row r="661" spans="1:17" x14ac:dyDescent="0.3">
      <c r="A661" s="1">
        <v>43643</v>
      </c>
      <c r="B661" s="3">
        <v>133</v>
      </c>
      <c r="C661" s="3">
        <v>133</v>
      </c>
      <c r="D661" s="3">
        <v>132</v>
      </c>
      <c r="E661" s="3">
        <v>132</v>
      </c>
      <c r="F661" s="4">
        <v>8412800</v>
      </c>
      <c r="G661" s="3">
        <v>133</v>
      </c>
      <c r="H661">
        <v>0</v>
      </c>
      <c r="I661">
        <v>128</v>
      </c>
      <c r="J661">
        <v>124</v>
      </c>
      <c r="K661">
        <v>120</v>
      </c>
      <c r="L661">
        <v>1</v>
      </c>
      <c r="M661">
        <v>2019</v>
      </c>
      <c r="N661">
        <v>6</v>
      </c>
      <c r="O661">
        <v>3</v>
      </c>
      <c r="P661">
        <v>2</v>
      </c>
      <c r="Q661" s="2" t="s">
        <v>17</v>
      </c>
    </row>
    <row r="662" spans="1:17" x14ac:dyDescent="0.3">
      <c r="A662" s="1">
        <v>43644</v>
      </c>
      <c r="B662" s="3">
        <v>133</v>
      </c>
      <c r="C662" s="3">
        <v>133</v>
      </c>
      <c r="D662" s="3">
        <v>133</v>
      </c>
      <c r="E662" s="3">
        <v>133</v>
      </c>
      <c r="F662" s="4">
        <v>8077000</v>
      </c>
      <c r="G662" s="3">
        <v>133</v>
      </c>
      <c r="H662">
        <v>0</v>
      </c>
      <c r="I662">
        <v>128</v>
      </c>
      <c r="J662">
        <v>124</v>
      </c>
      <c r="K662">
        <v>120</v>
      </c>
      <c r="L662">
        <v>1</v>
      </c>
      <c r="M662">
        <v>2019</v>
      </c>
      <c r="N662">
        <v>6</v>
      </c>
      <c r="O662">
        <v>4</v>
      </c>
      <c r="P662">
        <v>2</v>
      </c>
      <c r="Q662" s="2" t="s">
        <v>17</v>
      </c>
    </row>
    <row r="663" spans="1:17" x14ac:dyDescent="0.3">
      <c r="A663" s="1">
        <v>43647</v>
      </c>
      <c r="B663" s="3">
        <v>131</v>
      </c>
      <c r="C663" s="3">
        <v>132</v>
      </c>
      <c r="D663" s="3">
        <v>131</v>
      </c>
      <c r="E663" s="3">
        <v>132</v>
      </c>
      <c r="F663" s="4">
        <v>13317700</v>
      </c>
      <c r="G663" s="3">
        <v>131</v>
      </c>
      <c r="H663">
        <v>-2</v>
      </c>
      <c r="I663">
        <v>129</v>
      </c>
      <c r="J663">
        <v>124</v>
      </c>
      <c r="K663">
        <v>121</v>
      </c>
      <c r="L663">
        <v>1</v>
      </c>
      <c r="M663">
        <v>2019</v>
      </c>
      <c r="N663">
        <v>7</v>
      </c>
      <c r="O663">
        <v>0</v>
      </c>
      <c r="P663">
        <v>3</v>
      </c>
      <c r="Q663" s="2" t="s">
        <v>17</v>
      </c>
    </row>
    <row r="664" spans="1:17" x14ac:dyDescent="0.3">
      <c r="A664" s="1">
        <v>43648</v>
      </c>
      <c r="B664" s="3">
        <v>133</v>
      </c>
      <c r="C664" s="3">
        <v>134</v>
      </c>
      <c r="D664" s="3">
        <v>131</v>
      </c>
      <c r="E664" s="3">
        <v>131</v>
      </c>
      <c r="F664" s="4">
        <v>13282100</v>
      </c>
      <c r="G664" s="3">
        <v>133</v>
      </c>
      <c r="H664">
        <v>2</v>
      </c>
      <c r="I664">
        <v>129</v>
      </c>
      <c r="J664">
        <v>124</v>
      </c>
      <c r="K664">
        <v>121</v>
      </c>
      <c r="L664">
        <v>1</v>
      </c>
      <c r="M664">
        <v>2019</v>
      </c>
      <c r="N664">
        <v>7</v>
      </c>
      <c r="O664">
        <v>1</v>
      </c>
      <c r="P664">
        <v>3</v>
      </c>
      <c r="Q664" s="2" t="s">
        <v>17</v>
      </c>
    </row>
    <row r="665" spans="1:17" x14ac:dyDescent="0.3">
      <c r="A665" s="1">
        <v>43649</v>
      </c>
      <c r="B665" s="3">
        <v>134</v>
      </c>
      <c r="C665" s="3">
        <v>134</v>
      </c>
      <c r="D665" s="3">
        <v>133</v>
      </c>
      <c r="E665" s="3">
        <v>134</v>
      </c>
      <c r="F665" s="4">
        <v>6351500</v>
      </c>
      <c r="G665" s="3">
        <v>134</v>
      </c>
      <c r="H665">
        <v>0</v>
      </c>
      <c r="I665">
        <v>130</v>
      </c>
      <c r="J665">
        <v>125</v>
      </c>
      <c r="K665">
        <v>121</v>
      </c>
      <c r="L665">
        <v>1</v>
      </c>
      <c r="M665">
        <v>2019</v>
      </c>
      <c r="N665">
        <v>7</v>
      </c>
      <c r="O665">
        <v>2</v>
      </c>
      <c r="P665">
        <v>3</v>
      </c>
      <c r="Q665" s="2" t="s">
        <v>17</v>
      </c>
    </row>
    <row r="666" spans="1:17" x14ac:dyDescent="0.3">
      <c r="A666" s="1">
        <v>43651</v>
      </c>
      <c r="B666" s="3">
        <v>132</v>
      </c>
      <c r="C666" s="3">
        <v>132</v>
      </c>
      <c r="D666" s="3">
        <v>131</v>
      </c>
      <c r="E666" s="3">
        <v>131</v>
      </c>
      <c r="F666" s="4">
        <v>11536600</v>
      </c>
      <c r="G666" s="3">
        <v>132</v>
      </c>
      <c r="H666">
        <v>-1</v>
      </c>
      <c r="I666">
        <v>130</v>
      </c>
      <c r="J666">
        <v>125</v>
      </c>
      <c r="K666">
        <v>121</v>
      </c>
      <c r="L666">
        <v>1</v>
      </c>
      <c r="M666">
        <v>2019</v>
      </c>
      <c r="N666">
        <v>7</v>
      </c>
      <c r="O666">
        <v>4</v>
      </c>
      <c r="P666">
        <v>3</v>
      </c>
      <c r="Q666" s="2" t="s">
        <v>17</v>
      </c>
    </row>
    <row r="667" spans="1:17" x14ac:dyDescent="0.3">
      <c r="A667" s="1">
        <v>43654</v>
      </c>
      <c r="B667" s="3">
        <v>131</v>
      </c>
      <c r="C667" s="3">
        <v>132</v>
      </c>
      <c r="D667" s="3">
        <v>131</v>
      </c>
      <c r="E667" s="3">
        <v>132</v>
      </c>
      <c r="F667" s="4">
        <v>8028900</v>
      </c>
      <c r="G667" s="3">
        <v>131</v>
      </c>
      <c r="H667">
        <v>-1</v>
      </c>
      <c r="I667">
        <v>130</v>
      </c>
      <c r="J667">
        <v>125</v>
      </c>
      <c r="K667">
        <v>121</v>
      </c>
      <c r="L667">
        <v>1</v>
      </c>
      <c r="M667">
        <v>2019</v>
      </c>
      <c r="N667">
        <v>7</v>
      </c>
      <c r="O667">
        <v>0</v>
      </c>
      <c r="P667">
        <v>3</v>
      </c>
      <c r="Q667" s="2" t="s">
        <v>17</v>
      </c>
    </row>
    <row r="668" spans="1:17" x14ac:dyDescent="0.3">
      <c r="A668" s="1">
        <v>43655</v>
      </c>
      <c r="B668" s="3">
        <v>132</v>
      </c>
      <c r="C668" s="3">
        <v>132</v>
      </c>
      <c r="D668" s="3">
        <v>131</v>
      </c>
      <c r="E668" s="3">
        <v>131</v>
      </c>
      <c r="F668" s="4">
        <v>6633400</v>
      </c>
      <c r="G668" s="3">
        <v>132</v>
      </c>
      <c r="H668">
        <v>0</v>
      </c>
      <c r="I668">
        <v>130</v>
      </c>
      <c r="J668">
        <v>125</v>
      </c>
      <c r="K668">
        <v>121</v>
      </c>
      <c r="L668">
        <v>1</v>
      </c>
      <c r="M668">
        <v>2019</v>
      </c>
      <c r="N668">
        <v>7</v>
      </c>
      <c r="O668">
        <v>1</v>
      </c>
      <c r="P668">
        <v>3</v>
      </c>
      <c r="Q668" s="2" t="s">
        <v>17</v>
      </c>
    </row>
    <row r="669" spans="1:17" x14ac:dyDescent="0.3">
      <c r="A669" s="1">
        <v>43656</v>
      </c>
      <c r="B669" s="3">
        <v>134</v>
      </c>
      <c r="C669" s="3">
        <v>134</v>
      </c>
      <c r="D669" s="3">
        <v>132</v>
      </c>
      <c r="E669" s="3">
        <v>133</v>
      </c>
      <c r="F669" s="4">
        <v>13920600</v>
      </c>
      <c r="G669" s="3">
        <v>134</v>
      </c>
      <c r="H669">
        <v>2</v>
      </c>
      <c r="I669">
        <v>131</v>
      </c>
      <c r="J669">
        <v>126</v>
      </c>
      <c r="K669">
        <v>121</v>
      </c>
      <c r="L669">
        <v>1</v>
      </c>
      <c r="M669">
        <v>2019</v>
      </c>
      <c r="N669">
        <v>7</v>
      </c>
      <c r="O669">
        <v>2</v>
      </c>
      <c r="P669">
        <v>3</v>
      </c>
      <c r="Q669" s="2" t="s">
        <v>17</v>
      </c>
    </row>
    <row r="670" spans="1:17" x14ac:dyDescent="0.3">
      <c r="A670" s="1">
        <v>43657</v>
      </c>
      <c r="B670" s="3">
        <v>133</v>
      </c>
      <c r="C670" s="3">
        <v>134</v>
      </c>
      <c r="D670" s="3">
        <v>132</v>
      </c>
      <c r="E670" s="3">
        <v>134</v>
      </c>
      <c r="F670" s="4">
        <v>7535100</v>
      </c>
      <c r="G670" s="3">
        <v>133</v>
      </c>
      <c r="H670">
        <v>-1</v>
      </c>
      <c r="I670">
        <v>131</v>
      </c>
      <c r="J670">
        <v>126</v>
      </c>
      <c r="K670">
        <v>121</v>
      </c>
      <c r="L670">
        <v>1</v>
      </c>
      <c r="M670">
        <v>2019</v>
      </c>
      <c r="N670">
        <v>7</v>
      </c>
      <c r="O670">
        <v>3</v>
      </c>
      <c r="P670">
        <v>3</v>
      </c>
      <c r="Q670" s="2" t="s">
        <v>17</v>
      </c>
    </row>
    <row r="671" spans="1:17" x14ac:dyDescent="0.3">
      <c r="A671" s="1">
        <v>43658</v>
      </c>
      <c r="B671" s="3">
        <v>134</v>
      </c>
      <c r="C671" s="3">
        <v>134</v>
      </c>
      <c r="D671" s="3">
        <v>133</v>
      </c>
      <c r="E671" s="3">
        <v>133</v>
      </c>
      <c r="F671" s="4">
        <v>6309500</v>
      </c>
      <c r="G671" s="3">
        <v>134</v>
      </c>
      <c r="H671">
        <v>1</v>
      </c>
      <c r="I671">
        <v>132</v>
      </c>
      <c r="J671">
        <v>126</v>
      </c>
      <c r="K671">
        <v>121</v>
      </c>
      <c r="L671">
        <v>1</v>
      </c>
      <c r="M671">
        <v>2019</v>
      </c>
      <c r="N671">
        <v>7</v>
      </c>
      <c r="O671">
        <v>4</v>
      </c>
      <c r="P671">
        <v>3</v>
      </c>
      <c r="Q671" s="2" t="s">
        <v>17</v>
      </c>
    </row>
    <row r="672" spans="1:17" x14ac:dyDescent="0.3">
      <c r="A672" s="1">
        <v>43661</v>
      </c>
      <c r="B672" s="3">
        <v>134</v>
      </c>
      <c r="C672" s="3">
        <v>134</v>
      </c>
      <c r="D672" s="3">
        <v>133</v>
      </c>
      <c r="E672" s="3">
        <v>133</v>
      </c>
      <c r="F672" s="4">
        <v>4026600</v>
      </c>
      <c r="G672" s="3">
        <v>134</v>
      </c>
      <c r="H672">
        <v>0</v>
      </c>
      <c r="I672">
        <v>132</v>
      </c>
      <c r="J672">
        <v>126</v>
      </c>
      <c r="K672">
        <v>121</v>
      </c>
      <c r="L672">
        <v>1</v>
      </c>
      <c r="M672">
        <v>2019</v>
      </c>
      <c r="N672">
        <v>7</v>
      </c>
      <c r="O672">
        <v>0</v>
      </c>
      <c r="P672">
        <v>3</v>
      </c>
      <c r="Q672" s="2" t="s">
        <v>17</v>
      </c>
    </row>
    <row r="673" spans="1:17" x14ac:dyDescent="0.3">
      <c r="A673" s="1">
        <v>43662</v>
      </c>
      <c r="B673" s="3">
        <v>132</v>
      </c>
      <c r="C673" s="3">
        <v>133</v>
      </c>
      <c r="D673" s="3">
        <v>132</v>
      </c>
      <c r="E673" s="3">
        <v>133</v>
      </c>
      <c r="F673" s="4">
        <v>7966000</v>
      </c>
      <c r="G673" s="3">
        <v>132</v>
      </c>
      <c r="H673">
        <v>-1</v>
      </c>
      <c r="I673">
        <v>132</v>
      </c>
      <c r="J673">
        <v>127</v>
      </c>
      <c r="K673">
        <v>122</v>
      </c>
      <c r="L673">
        <v>1</v>
      </c>
      <c r="M673">
        <v>2019</v>
      </c>
      <c r="N673">
        <v>7</v>
      </c>
      <c r="O673">
        <v>1</v>
      </c>
      <c r="P673">
        <v>3</v>
      </c>
      <c r="Q673" s="2" t="s">
        <v>17</v>
      </c>
    </row>
    <row r="674" spans="1:17" x14ac:dyDescent="0.3">
      <c r="A674" s="1">
        <v>43663</v>
      </c>
      <c r="B674" s="3">
        <v>135</v>
      </c>
      <c r="C674" s="3">
        <v>135</v>
      </c>
      <c r="D674" s="3">
        <v>133</v>
      </c>
      <c r="E674" s="3">
        <v>133</v>
      </c>
      <c r="F674" s="4">
        <v>11288300</v>
      </c>
      <c r="G674" s="3">
        <v>135</v>
      </c>
      <c r="H674">
        <v>2</v>
      </c>
      <c r="I674">
        <v>133</v>
      </c>
      <c r="J674">
        <v>127</v>
      </c>
      <c r="K674">
        <v>122</v>
      </c>
      <c r="L674">
        <v>1</v>
      </c>
      <c r="M674">
        <v>2019</v>
      </c>
      <c r="N674">
        <v>7</v>
      </c>
      <c r="O674">
        <v>2</v>
      </c>
      <c r="P674">
        <v>3</v>
      </c>
      <c r="Q674" s="2" t="s">
        <v>17</v>
      </c>
    </row>
    <row r="675" spans="1:17" x14ac:dyDescent="0.3">
      <c r="A675" s="1">
        <v>43664</v>
      </c>
      <c r="B675" s="3">
        <v>136</v>
      </c>
      <c r="C675" s="3">
        <v>137</v>
      </c>
      <c r="D675" s="3">
        <v>134</v>
      </c>
      <c r="E675" s="3">
        <v>134</v>
      </c>
      <c r="F675" s="4">
        <v>18448200</v>
      </c>
      <c r="G675" s="3">
        <v>136</v>
      </c>
      <c r="H675">
        <v>1</v>
      </c>
      <c r="I675">
        <v>133</v>
      </c>
      <c r="J675">
        <v>127</v>
      </c>
      <c r="K675">
        <v>122</v>
      </c>
      <c r="L675">
        <v>1</v>
      </c>
      <c r="M675">
        <v>2019</v>
      </c>
      <c r="N675">
        <v>7</v>
      </c>
      <c r="O675">
        <v>3</v>
      </c>
      <c r="P675">
        <v>3</v>
      </c>
      <c r="Q675" s="2" t="s">
        <v>17</v>
      </c>
    </row>
    <row r="676" spans="1:17" x14ac:dyDescent="0.3">
      <c r="A676" s="1">
        <v>43665</v>
      </c>
      <c r="B676" s="3">
        <v>134</v>
      </c>
      <c r="C676" s="3">
        <v>136</v>
      </c>
      <c r="D676" s="3">
        <v>134</v>
      </c>
      <c r="E676" s="3">
        <v>135</v>
      </c>
      <c r="F676" s="4">
        <v>18079200</v>
      </c>
      <c r="G676" s="3">
        <v>134</v>
      </c>
      <c r="H676">
        <v>-1</v>
      </c>
      <c r="I676">
        <v>133</v>
      </c>
      <c r="J676">
        <v>128</v>
      </c>
      <c r="K676">
        <v>122</v>
      </c>
      <c r="L676">
        <v>1</v>
      </c>
      <c r="M676">
        <v>2019</v>
      </c>
      <c r="N676">
        <v>7</v>
      </c>
      <c r="O676">
        <v>4</v>
      </c>
      <c r="P676">
        <v>3</v>
      </c>
      <c r="Q676" s="2" t="s">
        <v>17</v>
      </c>
    </row>
    <row r="677" spans="1:17" x14ac:dyDescent="0.3">
      <c r="A677" s="1">
        <v>43668</v>
      </c>
      <c r="B677" s="3">
        <v>134</v>
      </c>
      <c r="C677" s="3">
        <v>135</v>
      </c>
      <c r="D677" s="3">
        <v>134</v>
      </c>
      <c r="E677" s="3">
        <v>135</v>
      </c>
      <c r="F677" s="4">
        <v>7570400</v>
      </c>
      <c r="G677" s="3">
        <v>134</v>
      </c>
      <c r="H677">
        <v>0</v>
      </c>
      <c r="I677">
        <v>133</v>
      </c>
      <c r="J677">
        <v>128</v>
      </c>
      <c r="K677">
        <v>122</v>
      </c>
      <c r="L677">
        <v>1</v>
      </c>
      <c r="M677">
        <v>2019</v>
      </c>
      <c r="N677">
        <v>7</v>
      </c>
      <c r="O677">
        <v>0</v>
      </c>
      <c r="P677">
        <v>3</v>
      </c>
      <c r="Q677" s="2" t="s">
        <v>17</v>
      </c>
    </row>
    <row r="678" spans="1:17" x14ac:dyDescent="0.3">
      <c r="A678" s="1">
        <v>43669</v>
      </c>
      <c r="B678" s="3">
        <v>134</v>
      </c>
      <c r="C678" s="3">
        <v>135</v>
      </c>
      <c r="D678" s="3">
        <v>134</v>
      </c>
      <c r="E678" s="3">
        <v>134</v>
      </c>
      <c r="F678" s="4">
        <v>9981400</v>
      </c>
      <c r="G678" s="3">
        <v>134</v>
      </c>
      <c r="H678">
        <v>-1</v>
      </c>
      <c r="I678">
        <v>133</v>
      </c>
      <c r="J678">
        <v>128</v>
      </c>
      <c r="K678">
        <v>122</v>
      </c>
      <c r="L678">
        <v>1</v>
      </c>
      <c r="M678">
        <v>2019</v>
      </c>
      <c r="N678">
        <v>7</v>
      </c>
      <c r="O678">
        <v>1</v>
      </c>
      <c r="P678">
        <v>3</v>
      </c>
      <c r="Q678" s="2" t="s">
        <v>17</v>
      </c>
    </row>
    <row r="679" spans="1:17" x14ac:dyDescent="0.3">
      <c r="A679" s="1">
        <v>43670</v>
      </c>
      <c r="B679" s="3">
        <v>134</v>
      </c>
      <c r="C679" s="3">
        <v>135</v>
      </c>
      <c r="D679" s="3">
        <v>134</v>
      </c>
      <c r="E679" s="3">
        <v>135</v>
      </c>
      <c r="F679" s="4">
        <v>6715200</v>
      </c>
      <c r="G679" s="3">
        <v>134</v>
      </c>
      <c r="H679">
        <v>1</v>
      </c>
      <c r="I679">
        <v>133</v>
      </c>
      <c r="J679">
        <v>128</v>
      </c>
      <c r="K679">
        <v>122</v>
      </c>
      <c r="L679">
        <v>1</v>
      </c>
      <c r="M679">
        <v>2019</v>
      </c>
      <c r="N679">
        <v>7</v>
      </c>
      <c r="O679">
        <v>2</v>
      </c>
      <c r="P679">
        <v>3</v>
      </c>
      <c r="Q679" s="2" t="s">
        <v>17</v>
      </c>
    </row>
    <row r="680" spans="1:17" x14ac:dyDescent="0.3">
      <c r="A680" s="1">
        <v>43671</v>
      </c>
      <c r="B680" s="3">
        <v>133</v>
      </c>
      <c r="C680" s="3">
        <v>134</v>
      </c>
      <c r="D680" s="3">
        <v>133</v>
      </c>
      <c r="E680" s="3">
        <v>134</v>
      </c>
      <c r="F680" s="4">
        <v>11708200</v>
      </c>
      <c r="G680" s="3">
        <v>133</v>
      </c>
      <c r="H680">
        <v>-1</v>
      </c>
      <c r="I680">
        <v>133</v>
      </c>
      <c r="J680">
        <v>128</v>
      </c>
      <c r="K680">
        <v>122</v>
      </c>
      <c r="L680">
        <v>1</v>
      </c>
      <c r="M680">
        <v>2019</v>
      </c>
      <c r="N680">
        <v>7</v>
      </c>
      <c r="O680">
        <v>3</v>
      </c>
      <c r="P680">
        <v>3</v>
      </c>
      <c r="Q680" s="2" t="s">
        <v>17</v>
      </c>
    </row>
    <row r="681" spans="1:17" x14ac:dyDescent="0.3">
      <c r="A681" s="1">
        <v>43672</v>
      </c>
      <c r="B681" s="3">
        <v>134</v>
      </c>
      <c r="C681" s="3">
        <v>134</v>
      </c>
      <c r="D681" s="3">
        <v>134</v>
      </c>
      <c r="E681" s="3">
        <v>134</v>
      </c>
      <c r="F681" s="4">
        <v>6249900</v>
      </c>
      <c r="G681" s="3">
        <v>134</v>
      </c>
      <c r="H681">
        <v>0</v>
      </c>
      <c r="I681">
        <v>133</v>
      </c>
      <c r="J681">
        <v>129</v>
      </c>
      <c r="K681">
        <v>122</v>
      </c>
      <c r="L681">
        <v>1</v>
      </c>
      <c r="M681">
        <v>2019</v>
      </c>
      <c r="N681">
        <v>7</v>
      </c>
      <c r="O681">
        <v>4</v>
      </c>
      <c r="P681">
        <v>3</v>
      </c>
      <c r="Q681" s="2" t="s">
        <v>17</v>
      </c>
    </row>
    <row r="682" spans="1:17" x14ac:dyDescent="0.3">
      <c r="A682" s="1">
        <v>43675</v>
      </c>
      <c r="B682" s="3">
        <v>135</v>
      </c>
      <c r="C682" s="3">
        <v>135</v>
      </c>
      <c r="D682" s="3">
        <v>133</v>
      </c>
      <c r="E682" s="3">
        <v>134</v>
      </c>
      <c r="F682" s="4">
        <v>9162400</v>
      </c>
      <c r="G682" s="3">
        <v>135</v>
      </c>
      <c r="H682">
        <v>1</v>
      </c>
      <c r="I682">
        <v>133</v>
      </c>
      <c r="J682">
        <v>129</v>
      </c>
      <c r="K682">
        <v>122</v>
      </c>
      <c r="L682">
        <v>1</v>
      </c>
      <c r="M682">
        <v>2019</v>
      </c>
      <c r="N682">
        <v>7</v>
      </c>
      <c r="O682">
        <v>0</v>
      </c>
      <c r="P682">
        <v>3</v>
      </c>
      <c r="Q682" s="2" t="s">
        <v>17</v>
      </c>
    </row>
    <row r="683" spans="1:17" x14ac:dyDescent="0.3">
      <c r="A683" s="1">
        <v>43676</v>
      </c>
      <c r="B683" s="3">
        <v>135</v>
      </c>
      <c r="C683" s="3">
        <v>135</v>
      </c>
      <c r="D683" s="3">
        <v>134</v>
      </c>
      <c r="E683" s="3">
        <v>135</v>
      </c>
      <c r="F683" s="4">
        <v>9458700</v>
      </c>
      <c r="G683" s="3">
        <v>135</v>
      </c>
      <c r="H683">
        <v>0</v>
      </c>
      <c r="I683">
        <v>134</v>
      </c>
      <c r="J683">
        <v>129</v>
      </c>
      <c r="K683">
        <v>123</v>
      </c>
      <c r="L683">
        <v>1</v>
      </c>
      <c r="M683">
        <v>2019</v>
      </c>
      <c r="N683">
        <v>7</v>
      </c>
      <c r="O683">
        <v>1</v>
      </c>
      <c r="P683">
        <v>3</v>
      </c>
      <c r="Q683" s="2" t="s">
        <v>17</v>
      </c>
    </row>
    <row r="684" spans="1:17" x14ac:dyDescent="0.3">
      <c r="A684" s="1">
        <v>43677</v>
      </c>
      <c r="B684" s="3">
        <v>133</v>
      </c>
      <c r="C684" s="3">
        <v>135</v>
      </c>
      <c r="D684" s="3">
        <v>133</v>
      </c>
      <c r="E684" s="3">
        <v>135</v>
      </c>
      <c r="F684" s="4">
        <v>18797200</v>
      </c>
      <c r="G684" s="3">
        <v>133</v>
      </c>
      <c r="H684">
        <v>-1</v>
      </c>
      <c r="I684">
        <v>134</v>
      </c>
      <c r="J684">
        <v>130</v>
      </c>
      <c r="K684">
        <v>123</v>
      </c>
      <c r="L684">
        <v>1</v>
      </c>
      <c r="M684">
        <v>2019</v>
      </c>
      <c r="N684">
        <v>7</v>
      </c>
      <c r="O684">
        <v>2</v>
      </c>
      <c r="P684">
        <v>3</v>
      </c>
      <c r="Q684" s="2" t="s">
        <v>17</v>
      </c>
    </row>
    <row r="685" spans="1:17" x14ac:dyDescent="0.3">
      <c r="A685" s="1">
        <v>43678</v>
      </c>
      <c r="B685" s="3">
        <v>136</v>
      </c>
      <c r="C685" s="3">
        <v>136</v>
      </c>
      <c r="D685" s="3">
        <v>132</v>
      </c>
      <c r="E685" s="3">
        <v>132</v>
      </c>
      <c r="F685" s="4">
        <v>27719800</v>
      </c>
      <c r="G685" s="3">
        <v>136</v>
      </c>
      <c r="H685">
        <v>2</v>
      </c>
      <c r="I685">
        <v>134</v>
      </c>
      <c r="J685">
        <v>130</v>
      </c>
      <c r="K685">
        <v>123</v>
      </c>
      <c r="L685">
        <v>1</v>
      </c>
      <c r="M685">
        <v>2019</v>
      </c>
      <c r="N685">
        <v>8</v>
      </c>
      <c r="O685">
        <v>3</v>
      </c>
      <c r="P685">
        <v>3</v>
      </c>
      <c r="Q685" s="2" t="s">
        <v>17</v>
      </c>
    </row>
    <row r="686" spans="1:17" x14ac:dyDescent="0.3">
      <c r="A686" s="1">
        <v>43679</v>
      </c>
      <c r="B686" s="3">
        <v>136</v>
      </c>
      <c r="C686" s="3">
        <v>137</v>
      </c>
      <c r="D686" s="3">
        <v>135</v>
      </c>
      <c r="E686" s="3">
        <v>135</v>
      </c>
      <c r="F686" s="4">
        <v>13753200</v>
      </c>
      <c r="G686" s="3">
        <v>136</v>
      </c>
      <c r="H686">
        <v>0</v>
      </c>
      <c r="I686">
        <v>134</v>
      </c>
      <c r="J686">
        <v>130</v>
      </c>
      <c r="K686">
        <v>123</v>
      </c>
      <c r="L686">
        <v>1</v>
      </c>
      <c r="M686">
        <v>2019</v>
      </c>
      <c r="N686">
        <v>8</v>
      </c>
      <c r="O686">
        <v>4</v>
      </c>
      <c r="P686">
        <v>3</v>
      </c>
      <c r="Q686" s="2" t="s">
        <v>17</v>
      </c>
    </row>
    <row r="687" spans="1:17" x14ac:dyDescent="0.3">
      <c r="A687" s="1">
        <v>43682</v>
      </c>
      <c r="B687" s="3">
        <v>138</v>
      </c>
      <c r="C687" s="3">
        <v>139</v>
      </c>
      <c r="D687" s="3">
        <v>137</v>
      </c>
      <c r="E687" s="3">
        <v>138</v>
      </c>
      <c r="F687" s="4">
        <v>17519800</v>
      </c>
      <c r="G687" s="3">
        <v>138</v>
      </c>
      <c r="H687">
        <v>1</v>
      </c>
      <c r="I687">
        <v>134</v>
      </c>
      <c r="J687">
        <v>130</v>
      </c>
      <c r="K687">
        <v>123</v>
      </c>
      <c r="L687">
        <v>1</v>
      </c>
      <c r="M687">
        <v>2019</v>
      </c>
      <c r="N687">
        <v>8</v>
      </c>
      <c r="O687">
        <v>0</v>
      </c>
      <c r="P687">
        <v>3</v>
      </c>
      <c r="Q687" s="2" t="s">
        <v>17</v>
      </c>
    </row>
    <row r="688" spans="1:17" x14ac:dyDescent="0.3">
      <c r="A688" s="1">
        <v>43683</v>
      </c>
      <c r="B688" s="3">
        <v>139</v>
      </c>
      <c r="C688" s="3">
        <v>139</v>
      </c>
      <c r="D688" s="3">
        <v>138</v>
      </c>
      <c r="E688" s="3">
        <v>138</v>
      </c>
      <c r="F688" s="4">
        <v>9471200</v>
      </c>
      <c r="G688" s="3">
        <v>139</v>
      </c>
      <c r="H688">
        <v>1</v>
      </c>
      <c r="I688">
        <v>135</v>
      </c>
      <c r="J688">
        <v>131</v>
      </c>
      <c r="K688">
        <v>123</v>
      </c>
      <c r="L688">
        <v>1</v>
      </c>
      <c r="M688">
        <v>2019</v>
      </c>
      <c r="N688">
        <v>8</v>
      </c>
      <c r="O688">
        <v>1</v>
      </c>
      <c r="P688">
        <v>3</v>
      </c>
      <c r="Q688" s="2" t="s">
        <v>17</v>
      </c>
    </row>
    <row r="689" spans="1:17" x14ac:dyDescent="0.3">
      <c r="A689" s="1">
        <v>43684</v>
      </c>
      <c r="B689" s="3">
        <v>141</v>
      </c>
      <c r="C689" s="3">
        <v>142</v>
      </c>
      <c r="D689" s="3">
        <v>141</v>
      </c>
      <c r="E689" s="3">
        <v>141</v>
      </c>
      <c r="F689" s="4">
        <v>26671100</v>
      </c>
      <c r="G689" s="3">
        <v>141</v>
      </c>
      <c r="H689">
        <v>2</v>
      </c>
      <c r="I689">
        <v>135</v>
      </c>
      <c r="J689">
        <v>131</v>
      </c>
      <c r="K689">
        <v>123</v>
      </c>
      <c r="L689">
        <v>1</v>
      </c>
      <c r="M689">
        <v>2019</v>
      </c>
      <c r="N689">
        <v>8</v>
      </c>
      <c r="O689">
        <v>2</v>
      </c>
      <c r="P689">
        <v>3</v>
      </c>
      <c r="Q689" s="2" t="s">
        <v>17</v>
      </c>
    </row>
    <row r="690" spans="1:17" x14ac:dyDescent="0.3">
      <c r="A690" s="1">
        <v>43685</v>
      </c>
      <c r="B690" s="3">
        <v>142</v>
      </c>
      <c r="C690" s="3">
        <v>142</v>
      </c>
      <c r="D690" s="3">
        <v>141</v>
      </c>
      <c r="E690" s="3">
        <v>141</v>
      </c>
      <c r="F690" s="4">
        <v>13108600</v>
      </c>
      <c r="G690" s="3">
        <v>142</v>
      </c>
      <c r="H690">
        <v>1</v>
      </c>
      <c r="I690">
        <v>135</v>
      </c>
      <c r="J690">
        <v>132</v>
      </c>
      <c r="K690">
        <v>123</v>
      </c>
      <c r="L690">
        <v>1</v>
      </c>
      <c r="M690">
        <v>2019</v>
      </c>
      <c r="N690">
        <v>8</v>
      </c>
      <c r="O690">
        <v>3</v>
      </c>
      <c r="P690">
        <v>3</v>
      </c>
      <c r="Q690" s="2" t="s">
        <v>17</v>
      </c>
    </row>
    <row r="691" spans="1:17" x14ac:dyDescent="0.3">
      <c r="A691" s="1">
        <v>43686</v>
      </c>
      <c r="B691" s="3">
        <v>141</v>
      </c>
      <c r="C691" s="3">
        <v>142</v>
      </c>
      <c r="D691" s="3">
        <v>141</v>
      </c>
      <c r="E691" s="3">
        <v>141</v>
      </c>
      <c r="F691" s="4">
        <v>9485900</v>
      </c>
      <c r="G691" s="3">
        <v>141</v>
      </c>
      <c r="H691">
        <v>0</v>
      </c>
      <c r="I691">
        <v>136</v>
      </c>
      <c r="J691">
        <v>132</v>
      </c>
      <c r="K691">
        <v>123</v>
      </c>
      <c r="L691">
        <v>1</v>
      </c>
      <c r="M691">
        <v>2019</v>
      </c>
      <c r="N691">
        <v>8</v>
      </c>
      <c r="O691">
        <v>4</v>
      </c>
      <c r="P691">
        <v>3</v>
      </c>
      <c r="Q691" s="2" t="s">
        <v>17</v>
      </c>
    </row>
    <row r="692" spans="1:17" x14ac:dyDescent="0.3">
      <c r="A692" s="1">
        <v>43689</v>
      </c>
      <c r="B692" s="3">
        <v>143</v>
      </c>
      <c r="C692" s="3">
        <v>143</v>
      </c>
      <c r="D692" s="3">
        <v>142</v>
      </c>
      <c r="E692" s="3">
        <v>142</v>
      </c>
      <c r="F692" s="4">
        <v>15264000</v>
      </c>
      <c r="G692" s="3">
        <v>143</v>
      </c>
      <c r="H692">
        <v>1</v>
      </c>
      <c r="I692">
        <v>136</v>
      </c>
      <c r="J692">
        <v>132</v>
      </c>
      <c r="K692">
        <v>124</v>
      </c>
      <c r="L692">
        <v>1</v>
      </c>
      <c r="M692">
        <v>2019</v>
      </c>
      <c r="N692">
        <v>8</v>
      </c>
      <c r="O692">
        <v>0</v>
      </c>
      <c r="P692">
        <v>3</v>
      </c>
      <c r="Q692" s="2" t="s">
        <v>17</v>
      </c>
    </row>
    <row r="693" spans="1:17" x14ac:dyDescent="0.3">
      <c r="A693" s="1">
        <v>43690</v>
      </c>
      <c r="B693" s="3">
        <v>142</v>
      </c>
      <c r="C693" s="3">
        <v>143</v>
      </c>
      <c r="D693" s="3">
        <v>139</v>
      </c>
      <c r="E693" s="3">
        <v>143</v>
      </c>
      <c r="F693" s="4">
        <v>29842800</v>
      </c>
      <c r="G693" s="3">
        <v>142</v>
      </c>
      <c r="H693">
        <v>-1</v>
      </c>
      <c r="I693">
        <v>137</v>
      </c>
      <c r="J693">
        <v>133</v>
      </c>
      <c r="K693">
        <v>124</v>
      </c>
      <c r="L693">
        <v>1</v>
      </c>
      <c r="M693">
        <v>2019</v>
      </c>
      <c r="N693">
        <v>8</v>
      </c>
      <c r="O693">
        <v>1</v>
      </c>
      <c r="P693">
        <v>3</v>
      </c>
      <c r="Q693" s="2" t="s">
        <v>17</v>
      </c>
    </row>
    <row r="694" spans="1:17" x14ac:dyDescent="0.3">
      <c r="A694" s="1">
        <v>43691</v>
      </c>
      <c r="B694" s="3">
        <v>143</v>
      </c>
      <c r="C694" s="3">
        <v>144</v>
      </c>
      <c r="D694" s="3">
        <v>142</v>
      </c>
      <c r="E694" s="3">
        <v>143</v>
      </c>
      <c r="F694" s="4">
        <v>20672900</v>
      </c>
      <c r="G694" s="3">
        <v>143</v>
      </c>
      <c r="H694">
        <v>1</v>
      </c>
      <c r="I694">
        <v>137</v>
      </c>
      <c r="J694">
        <v>133</v>
      </c>
      <c r="K694">
        <v>124</v>
      </c>
      <c r="L694">
        <v>1</v>
      </c>
      <c r="M694">
        <v>2019</v>
      </c>
      <c r="N694">
        <v>8</v>
      </c>
      <c r="O694">
        <v>2</v>
      </c>
      <c r="P694">
        <v>3</v>
      </c>
      <c r="Q694" s="2" t="s">
        <v>17</v>
      </c>
    </row>
    <row r="695" spans="1:17" x14ac:dyDescent="0.3">
      <c r="A695" s="1">
        <v>43692</v>
      </c>
      <c r="B695" s="3">
        <v>144</v>
      </c>
      <c r="C695" s="3">
        <v>144</v>
      </c>
      <c r="D695" s="3">
        <v>143</v>
      </c>
      <c r="E695" s="3">
        <v>143</v>
      </c>
      <c r="F695" s="4">
        <v>13467800</v>
      </c>
      <c r="G695" s="3">
        <v>144</v>
      </c>
      <c r="H695">
        <v>1</v>
      </c>
      <c r="I695">
        <v>138</v>
      </c>
      <c r="J695">
        <v>133</v>
      </c>
      <c r="K695">
        <v>124</v>
      </c>
      <c r="L695">
        <v>1</v>
      </c>
      <c r="M695">
        <v>2019</v>
      </c>
      <c r="N695">
        <v>8</v>
      </c>
      <c r="O695">
        <v>3</v>
      </c>
      <c r="P695">
        <v>3</v>
      </c>
      <c r="Q695" s="2" t="s">
        <v>17</v>
      </c>
    </row>
    <row r="696" spans="1:17" x14ac:dyDescent="0.3">
      <c r="A696" s="1">
        <v>43693</v>
      </c>
      <c r="B696" s="3">
        <v>143</v>
      </c>
      <c r="C696" s="3">
        <v>143</v>
      </c>
      <c r="D696" s="3">
        <v>142</v>
      </c>
      <c r="E696" s="3">
        <v>143</v>
      </c>
      <c r="F696" s="4">
        <v>11728800</v>
      </c>
      <c r="G696" s="3">
        <v>143</v>
      </c>
      <c r="H696">
        <v>-1</v>
      </c>
      <c r="I696">
        <v>138</v>
      </c>
      <c r="J696">
        <v>134</v>
      </c>
      <c r="K696">
        <v>124</v>
      </c>
      <c r="L696">
        <v>1</v>
      </c>
      <c r="M696">
        <v>2019</v>
      </c>
      <c r="N696">
        <v>8</v>
      </c>
      <c r="O696">
        <v>4</v>
      </c>
      <c r="P696">
        <v>3</v>
      </c>
      <c r="Q696" s="2" t="s">
        <v>17</v>
      </c>
    </row>
    <row r="697" spans="1:17" x14ac:dyDescent="0.3">
      <c r="A697" s="1">
        <v>43696</v>
      </c>
      <c r="B697" s="3">
        <v>141</v>
      </c>
      <c r="C697" s="3">
        <v>142</v>
      </c>
      <c r="D697" s="3">
        <v>141</v>
      </c>
      <c r="E697" s="3">
        <v>141</v>
      </c>
      <c r="F697" s="4">
        <v>10552700</v>
      </c>
      <c r="G697" s="3">
        <v>141</v>
      </c>
      <c r="H697">
        <v>-1</v>
      </c>
      <c r="I697">
        <v>138</v>
      </c>
      <c r="J697">
        <v>134</v>
      </c>
      <c r="K697">
        <v>124</v>
      </c>
      <c r="L697">
        <v>1</v>
      </c>
      <c r="M697">
        <v>2019</v>
      </c>
      <c r="N697">
        <v>8</v>
      </c>
      <c r="O697">
        <v>0</v>
      </c>
      <c r="P697">
        <v>3</v>
      </c>
      <c r="Q697" s="2" t="s">
        <v>17</v>
      </c>
    </row>
    <row r="698" spans="1:17" x14ac:dyDescent="0.3">
      <c r="A698" s="1">
        <v>43697</v>
      </c>
      <c r="B698" s="3">
        <v>142</v>
      </c>
      <c r="C698" s="3">
        <v>142</v>
      </c>
      <c r="D698" s="3">
        <v>142</v>
      </c>
      <c r="E698" s="3">
        <v>142</v>
      </c>
      <c r="F698" s="4">
        <v>7478500</v>
      </c>
      <c r="G698" s="3">
        <v>142</v>
      </c>
      <c r="H698">
        <v>1</v>
      </c>
      <c r="I698">
        <v>139</v>
      </c>
      <c r="J698">
        <v>134</v>
      </c>
      <c r="K698">
        <v>124</v>
      </c>
      <c r="L698">
        <v>1</v>
      </c>
      <c r="M698">
        <v>2019</v>
      </c>
      <c r="N698">
        <v>8</v>
      </c>
      <c r="O698">
        <v>1</v>
      </c>
      <c r="P698">
        <v>3</v>
      </c>
      <c r="Q698" s="2" t="s">
        <v>17</v>
      </c>
    </row>
    <row r="699" spans="1:17" x14ac:dyDescent="0.3">
      <c r="A699" s="1">
        <v>43698</v>
      </c>
      <c r="B699" s="3">
        <v>142</v>
      </c>
      <c r="C699" s="3">
        <v>142</v>
      </c>
      <c r="D699" s="3">
        <v>141</v>
      </c>
      <c r="E699" s="3">
        <v>142</v>
      </c>
      <c r="F699" s="4">
        <v>8114700</v>
      </c>
      <c r="G699" s="3">
        <v>142</v>
      </c>
      <c r="H699">
        <v>0</v>
      </c>
      <c r="I699">
        <v>139</v>
      </c>
      <c r="J699">
        <v>135</v>
      </c>
      <c r="K699">
        <v>125</v>
      </c>
      <c r="L699">
        <v>1</v>
      </c>
      <c r="M699">
        <v>2019</v>
      </c>
      <c r="N699">
        <v>8</v>
      </c>
      <c r="O699">
        <v>2</v>
      </c>
      <c r="P699">
        <v>3</v>
      </c>
      <c r="Q699" s="2" t="s">
        <v>17</v>
      </c>
    </row>
    <row r="700" spans="1:17" x14ac:dyDescent="0.3">
      <c r="A700" s="1">
        <v>43699</v>
      </c>
      <c r="B700" s="3">
        <v>141</v>
      </c>
      <c r="C700" s="3">
        <v>142</v>
      </c>
      <c r="D700" s="3">
        <v>141</v>
      </c>
      <c r="E700" s="3">
        <v>141</v>
      </c>
      <c r="F700" s="4">
        <v>6846500</v>
      </c>
      <c r="G700" s="3">
        <v>141</v>
      </c>
      <c r="H700">
        <v>0</v>
      </c>
      <c r="I700">
        <v>139</v>
      </c>
      <c r="J700">
        <v>135</v>
      </c>
      <c r="K700">
        <v>125</v>
      </c>
      <c r="L700">
        <v>1</v>
      </c>
      <c r="M700">
        <v>2019</v>
      </c>
      <c r="N700">
        <v>8</v>
      </c>
      <c r="O700">
        <v>3</v>
      </c>
      <c r="P700">
        <v>3</v>
      </c>
      <c r="Q700" s="2" t="s">
        <v>17</v>
      </c>
    </row>
    <row r="701" spans="1:17" x14ac:dyDescent="0.3">
      <c r="A701" s="1">
        <v>43700</v>
      </c>
      <c r="B701" s="3">
        <v>144</v>
      </c>
      <c r="C701" s="3">
        <v>144</v>
      </c>
      <c r="D701" s="3">
        <v>142</v>
      </c>
      <c r="E701" s="3">
        <v>142</v>
      </c>
      <c r="F701" s="4">
        <v>20282200</v>
      </c>
      <c r="G701" s="3">
        <v>144</v>
      </c>
      <c r="H701">
        <v>2</v>
      </c>
      <c r="I701">
        <v>140</v>
      </c>
      <c r="J701">
        <v>135</v>
      </c>
      <c r="K701">
        <v>125</v>
      </c>
      <c r="L701">
        <v>1</v>
      </c>
      <c r="M701">
        <v>2019</v>
      </c>
      <c r="N701">
        <v>8</v>
      </c>
      <c r="O701">
        <v>4</v>
      </c>
      <c r="P701">
        <v>3</v>
      </c>
      <c r="Q701" s="2" t="s">
        <v>17</v>
      </c>
    </row>
    <row r="702" spans="1:17" x14ac:dyDescent="0.3">
      <c r="A702" s="1">
        <v>43703</v>
      </c>
      <c r="B702" s="3">
        <v>144</v>
      </c>
      <c r="C702" s="3">
        <v>145</v>
      </c>
      <c r="D702" s="3">
        <v>144</v>
      </c>
      <c r="E702" s="3">
        <v>144</v>
      </c>
      <c r="F702" s="4">
        <v>12195800</v>
      </c>
      <c r="G702" s="3">
        <v>144</v>
      </c>
      <c r="H702">
        <v>0</v>
      </c>
      <c r="I702">
        <v>140</v>
      </c>
      <c r="J702">
        <v>136</v>
      </c>
      <c r="K702">
        <v>125</v>
      </c>
      <c r="L702">
        <v>1</v>
      </c>
      <c r="M702">
        <v>2019</v>
      </c>
      <c r="N702">
        <v>8</v>
      </c>
      <c r="O702">
        <v>0</v>
      </c>
      <c r="P702">
        <v>3</v>
      </c>
      <c r="Q702" s="2" t="s">
        <v>17</v>
      </c>
    </row>
    <row r="703" spans="1:17" x14ac:dyDescent="0.3">
      <c r="A703" s="1">
        <v>43704</v>
      </c>
      <c r="B703" s="3">
        <v>146</v>
      </c>
      <c r="C703" s="3">
        <v>146</v>
      </c>
      <c r="D703" s="3">
        <v>144</v>
      </c>
      <c r="E703" s="3">
        <v>144</v>
      </c>
      <c r="F703" s="4">
        <v>12844100</v>
      </c>
      <c r="G703" s="3">
        <v>146</v>
      </c>
      <c r="H703">
        <v>1</v>
      </c>
      <c r="I703">
        <v>141</v>
      </c>
      <c r="J703">
        <v>136</v>
      </c>
      <c r="K703">
        <v>125</v>
      </c>
      <c r="L703">
        <v>1</v>
      </c>
      <c r="M703">
        <v>2019</v>
      </c>
      <c r="N703">
        <v>8</v>
      </c>
      <c r="O703">
        <v>1</v>
      </c>
      <c r="P703">
        <v>3</v>
      </c>
      <c r="Q703" s="2" t="s">
        <v>17</v>
      </c>
    </row>
    <row r="704" spans="1:17" x14ac:dyDescent="0.3">
      <c r="A704" s="1">
        <v>43705</v>
      </c>
      <c r="B704" s="3">
        <v>145</v>
      </c>
      <c r="C704" s="3">
        <v>146</v>
      </c>
      <c r="D704" s="3">
        <v>145</v>
      </c>
      <c r="E704" s="3">
        <v>145</v>
      </c>
      <c r="F704" s="4">
        <v>11452400</v>
      </c>
      <c r="G704" s="3">
        <v>145</v>
      </c>
      <c r="H704">
        <v>0</v>
      </c>
      <c r="I704">
        <v>142</v>
      </c>
      <c r="J704">
        <v>137</v>
      </c>
      <c r="K704">
        <v>125</v>
      </c>
      <c r="L704">
        <v>1</v>
      </c>
      <c r="M704">
        <v>2019</v>
      </c>
      <c r="N704">
        <v>8</v>
      </c>
      <c r="O704">
        <v>2</v>
      </c>
      <c r="P704">
        <v>3</v>
      </c>
      <c r="Q704" s="2" t="s">
        <v>17</v>
      </c>
    </row>
    <row r="705" spans="1:17" x14ac:dyDescent="0.3">
      <c r="A705" s="1">
        <v>43706</v>
      </c>
      <c r="B705" s="3">
        <v>144</v>
      </c>
      <c r="C705" s="3">
        <v>145</v>
      </c>
      <c r="D705" s="3">
        <v>143</v>
      </c>
      <c r="E705" s="3">
        <v>145</v>
      </c>
      <c r="F705" s="4">
        <v>14762500</v>
      </c>
      <c r="G705" s="3">
        <v>144</v>
      </c>
      <c r="H705">
        <v>-1</v>
      </c>
      <c r="I705">
        <v>142</v>
      </c>
      <c r="J705">
        <v>137</v>
      </c>
      <c r="K705">
        <v>125</v>
      </c>
      <c r="L705">
        <v>1</v>
      </c>
      <c r="M705">
        <v>2019</v>
      </c>
      <c r="N705">
        <v>8</v>
      </c>
      <c r="O705">
        <v>3</v>
      </c>
      <c r="P705">
        <v>3</v>
      </c>
      <c r="Q705" s="2" t="s">
        <v>17</v>
      </c>
    </row>
    <row r="706" spans="1:17" x14ac:dyDescent="0.3">
      <c r="A706" s="1">
        <v>43707</v>
      </c>
      <c r="B706" s="3">
        <v>144</v>
      </c>
      <c r="C706" s="3">
        <v>145</v>
      </c>
      <c r="D706" s="3">
        <v>143</v>
      </c>
      <c r="E706" s="3">
        <v>144</v>
      </c>
      <c r="F706" s="4">
        <v>9642200</v>
      </c>
      <c r="G706" s="3">
        <v>144</v>
      </c>
      <c r="H706">
        <v>0</v>
      </c>
      <c r="I706">
        <v>142</v>
      </c>
      <c r="J706">
        <v>137</v>
      </c>
      <c r="K706">
        <v>126</v>
      </c>
      <c r="L706">
        <v>1</v>
      </c>
      <c r="M706">
        <v>2019</v>
      </c>
      <c r="N706">
        <v>8</v>
      </c>
      <c r="O706">
        <v>4</v>
      </c>
      <c r="P706">
        <v>3</v>
      </c>
      <c r="Q706" s="2" t="s">
        <v>17</v>
      </c>
    </row>
    <row r="707" spans="1:17" x14ac:dyDescent="0.3">
      <c r="A707" s="1">
        <v>43711</v>
      </c>
      <c r="B707" s="3">
        <v>146</v>
      </c>
      <c r="C707" s="3">
        <v>146</v>
      </c>
      <c r="D707" s="3">
        <v>145</v>
      </c>
      <c r="E707" s="3">
        <v>145</v>
      </c>
      <c r="F707" s="4">
        <v>15615200</v>
      </c>
      <c r="G707" s="3">
        <v>146</v>
      </c>
      <c r="H707">
        <v>1</v>
      </c>
      <c r="I707">
        <v>143</v>
      </c>
      <c r="J707">
        <v>137</v>
      </c>
      <c r="K707">
        <v>126</v>
      </c>
      <c r="L707">
        <v>1</v>
      </c>
      <c r="M707">
        <v>2019</v>
      </c>
      <c r="N707">
        <v>9</v>
      </c>
      <c r="O707">
        <v>1</v>
      </c>
      <c r="P707">
        <v>3</v>
      </c>
      <c r="Q707" s="2" t="s">
        <v>17</v>
      </c>
    </row>
    <row r="708" spans="1:17" x14ac:dyDescent="0.3">
      <c r="A708" s="1">
        <v>43712</v>
      </c>
      <c r="B708" s="3">
        <v>147</v>
      </c>
      <c r="C708" s="3">
        <v>147</v>
      </c>
      <c r="D708" s="3">
        <v>146</v>
      </c>
      <c r="E708" s="3">
        <v>146</v>
      </c>
      <c r="F708" s="4">
        <v>11285900</v>
      </c>
      <c r="G708" s="3">
        <v>147</v>
      </c>
      <c r="H708">
        <v>1</v>
      </c>
      <c r="I708">
        <v>143</v>
      </c>
      <c r="J708">
        <v>138</v>
      </c>
      <c r="K708">
        <v>126</v>
      </c>
      <c r="L708">
        <v>1</v>
      </c>
      <c r="M708">
        <v>2019</v>
      </c>
      <c r="N708">
        <v>9</v>
      </c>
      <c r="O708">
        <v>2</v>
      </c>
      <c r="P708">
        <v>3</v>
      </c>
      <c r="Q708" s="2" t="s">
        <v>17</v>
      </c>
    </row>
    <row r="709" spans="1:17" x14ac:dyDescent="0.3">
      <c r="A709" s="1">
        <v>43713</v>
      </c>
      <c r="B709" s="3">
        <v>143</v>
      </c>
      <c r="C709" s="3">
        <v>145</v>
      </c>
      <c r="D709" s="3">
        <v>142</v>
      </c>
      <c r="E709" s="3">
        <v>145</v>
      </c>
      <c r="F709" s="4">
        <v>20293200</v>
      </c>
      <c r="G709" s="3">
        <v>143</v>
      </c>
      <c r="H709">
        <v>-2</v>
      </c>
      <c r="I709">
        <v>143</v>
      </c>
      <c r="J709">
        <v>138</v>
      </c>
      <c r="K709">
        <v>126</v>
      </c>
      <c r="L709">
        <v>1</v>
      </c>
      <c r="M709">
        <v>2019</v>
      </c>
      <c r="N709">
        <v>9</v>
      </c>
      <c r="O709">
        <v>3</v>
      </c>
      <c r="P709">
        <v>3</v>
      </c>
      <c r="Q709" s="2" t="s">
        <v>17</v>
      </c>
    </row>
    <row r="710" spans="1:17" x14ac:dyDescent="0.3">
      <c r="A710" s="1">
        <v>43714</v>
      </c>
      <c r="B710" s="3">
        <v>142</v>
      </c>
      <c r="C710" s="3">
        <v>144</v>
      </c>
      <c r="D710" s="3">
        <v>142</v>
      </c>
      <c r="E710" s="3">
        <v>144</v>
      </c>
      <c r="F710" s="4">
        <v>14175200</v>
      </c>
      <c r="G710" s="3">
        <v>142</v>
      </c>
      <c r="H710">
        <v>-1</v>
      </c>
      <c r="I710">
        <v>143</v>
      </c>
      <c r="J710">
        <v>138</v>
      </c>
      <c r="K710">
        <v>126</v>
      </c>
      <c r="L710">
        <v>1</v>
      </c>
      <c r="M710">
        <v>2019</v>
      </c>
      <c r="N710">
        <v>9</v>
      </c>
      <c r="O710">
        <v>4</v>
      </c>
      <c r="P710">
        <v>3</v>
      </c>
      <c r="Q710" s="2" t="s">
        <v>17</v>
      </c>
    </row>
    <row r="711" spans="1:17" x14ac:dyDescent="0.3">
      <c r="A711" s="1">
        <v>43717</v>
      </c>
      <c r="B711" s="3">
        <v>141</v>
      </c>
      <c r="C711" s="3">
        <v>142</v>
      </c>
      <c r="D711" s="3">
        <v>141</v>
      </c>
      <c r="E711" s="3">
        <v>142</v>
      </c>
      <c r="F711" s="4">
        <v>11323800</v>
      </c>
      <c r="G711" s="3">
        <v>141</v>
      </c>
      <c r="H711">
        <v>0</v>
      </c>
      <c r="I711">
        <v>143</v>
      </c>
      <c r="J711">
        <v>138</v>
      </c>
      <c r="K711">
        <v>126</v>
      </c>
      <c r="L711">
        <v>1</v>
      </c>
      <c r="M711">
        <v>2019</v>
      </c>
      <c r="N711">
        <v>9</v>
      </c>
      <c r="O711">
        <v>0</v>
      </c>
      <c r="P711">
        <v>3</v>
      </c>
      <c r="Q711" s="2" t="s">
        <v>17</v>
      </c>
    </row>
    <row r="712" spans="1:17" x14ac:dyDescent="0.3">
      <c r="A712" s="1">
        <v>43718</v>
      </c>
      <c r="B712" s="3">
        <v>140</v>
      </c>
      <c r="C712" s="3">
        <v>142</v>
      </c>
      <c r="D712" s="3">
        <v>140</v>
      </c>
      <c r="E712" s="3">
        <v>141</v>
      </c>
      <c r="F712" s="4">
        <v>12629200</v>
      </c>
      <c r="G712" s="3">
        <v>140</v>
      </c>
      <c r="H712">
        <v>-1</v>
      </c>
      <c r="I712">
        <v>143</v>
      </c>
      <c r="J712">
        <v>138</v>
      </c>
      <c r="K712">
        <v>126</v>
      </c>
      <c r="L712">
        <v>1</v>
      </c>
      <c r="M712">
        <v>2019</v>
      </c>
      <c r="N712">
        <v>9</v>
      </c>
      <c r="O712">
        <v>1</v>
      </c>
      <c r="P712">
        <v>3</v>
      </c>
      <c r="Q712" s="2" t="s">
        <v>17</v>
      </c>
    </row>
    <row r="713" spans="1:17" x14ac:dyDescent="0.3">
      <c r="A713" s="1">
        <v>43719</v>
      </c>
      <c r="B713" s="3">
        <v>141</v>
      </c>
      <c r="C713" s="3">
        <v>141</v>
      </c>
      <c r="D713" s="3">
        <v>140</v>
      </c>
      <c r="E713" s="3">
        <v>140</v>
      </c>
      <c r="F713" s="4">
        <v>7453000</v>
      </c>
      <c r="G713" s="3">
        <v>141</v>
      </c>
      <c r="H713">
        <v>1</v>
      </c>
      <c r="I713">
        <v>143</v>
      </c>
      <c r="J713">
        <v>139</v>
      </c>
      <c r="K713">
        <v>127</v>
      </c>
      <c r="L713">
        <v>1</v>
      </c>
      <c r="M713">
        <v>2019</v>
      </c>
      <c r="N713">
        <v>9</v>
      </c>
      <c r="O713">
        <v>2</v>
      </c>
      <c r="P713">
        <v>3</v>
      </c>
      <c r="Q713" s="2" t="s">
        <v>17</v>
      </c>
    </row>
    <row r="714" spans="1:17" x14ac:dyDescent="0.3">
      <c r="A714" s="1">
        <v>43720</v>
      </c>
      <c r="B714" s="3">
        <v>141</v>
      </c>
      <c r="C714" s="3">
        <v>143</v>
      </c>
      <c r="D714" s="3">
        <v>141</v>
      </c>
      <c r="E714" s="3">
        <v>143</v>
      </c>
      <c r="F714" s="4">
        <v>12673700</v>
      </c>
      <c r="G714" s="3">
        <v>141</v>
      </c>
      <c r="H714">
        <v>0</v>
      </c>
      <c r="I714">
        <v>143</v>
      </c>
      <c r="J714">
        <v>139</v>
      </c>
      <c r="K714">
        <v>127</v>
      </c>
      <c r="L714">
        <v>1</v>
      </c>
      <c r="M714">
        <v>2019</v>
      </c>
      <c r="N714">
        <v>9</v>
      </c>
      <c r="O714">
        <v>3</v>
      </c>
      <c r="P714">
        <v>3</v>
      </c>
      <c r="Q714" s="2" t="s">
        <v>17</v>
      </c>
    </row>
    <row r="715" spans="1:17" x14ac:dyDescent="0.3">
      <c r="A715" s="1">
        <v>43721</v>
      </c>
      <c r="B715" s="3">
        <v>140</v>
      </c>
      <c r="C715" s="3">
        <v>142</v>
      </c>
      <c r="D715" s="3">
        <v>140</v>
      </c>
      <c r="E715" s="3">
        <v>142</v>
      </c>
      <c r="F715" s="4">
        <v>13451700</v>
      </c>
      <c r="G715" s="3">
        <v>140</v>
      </c>
      <c r="H715">
        <v>-1</v>
      </c>
      <c r="I715">
        <v>143</v>
      </c>
      <c r="J715">
        <v>139</v>
      </c>
      <c r="K715">
        <v>127</v>
      </c>
      <c r="L715">
        <v>1</v>
      </c>
      <c r="M715">
        <v>2019</v>
      </c>
      <c r="N715">
        <v>9</v>
      </c>
      <c r="O715">
        <v>4</v>
      </c>
      <c r="P715">
        <v>3</v>
      </c>
      <c r="Q715" s="2" t="s">
        <v>17</v>
      </c>
    </row>
    <row r="716" spans="1:17" x14ac:dyDescent="0.3">
      <c r="A716" s="1">
        <v>43724</v>
      </c>
      <c r="B716" s="3">
        <v>141</v>
      </c>
      <c r="C716" s="3">
        <v>142</v>
      </c>
      <c r="D716" s="3">
        <v>141</v>
      </c>
      <c r="E716" s="3">
        <v>142</v>
      </c>
      <c r="F716" s="4">
        <v>8094600</v>
      </c>
      <c r="G716" s="3">
        <v>141</v>
      </c>
      <c r="H716">
        <v>1</v>
      </c>
      <c r="I716">
        <v>143</v>
      </c>
      <c r="J716">
        <v>139</v>
      </c>
      <c r="K716">
        <v>127</v>
      </c>
      <c r="L716">
        <v>1</v>
      </c>
      <c r="M716">
        <v>2019</v>
      </c>
      <c r="N716">
        <v>9</v>
      </c>
      <c r="O716">
        <v>0</v>
      </c>
      <c r="P716">
        <v>3</v>
      </c>
      <c r="Q716" s="2" t="s">
        <v>17</v>
      </c>
    </row>
    <row r="717" spans="1:17" x14ac:dyDescent="0.3">
      <c r="A717" s="1">
        <v>43725</v>
      </c>
      <c r="B717" s="3">
        <v>142</v>
      </c>
      <c r="C717" s="3">
        <v>142</v>
      </c>
      <c r="D717" s="3">
        <v>141</v>
      </c>
      <c r="E717" s="3">
        <v>142</v>
      </c>
      <c r="F717" s="4">
        <v>7010200</v>
      </c>
      <c r="G717" s="3">
        <v>142</v>
      </c>
      <c r="H717">
        <v>0</v>
      </c>
      <c r="I717">
        <v>143</v>
      </c>
      <c r="J717">
        <v>139</v>
      </c>
      <c r="K717">
        <v>127</v>
      </c>
      <c r="L717">
        <v>1</v>
      </c>
      <c r="M717">
        <v>2019</v>
      </c>
      <c r="N717">
        <v>9</v>
      </c>
      <c r="O717">
        <v>1</v>
      </c>
      <c r="P717">
        <v>3</v>
      </c>
      <c r="Q717" s="2" t="s">
        <v>17</v>
      </c>
    </row>
    <row r="718" spans="1:17" x14ac:dyDescent="0.3">
      <c r="A718" s="1">
        <v>43726</v>
      </c>
      <c r="B718" s="3">
        <v>141</v>
      </c>
      <c r="C718" s="3">
        <v>143</v>
      </c>
      <c r="D718" s="3">
        <v>140</v>
      </c>
      <c r="E718" s="3">
        <v>142</v>
      </c>
      <c r="F718" s="4">
        <v>15026300</v>
      </c>
      <c r="G718" s="3">
        <v>141</v>
      </c>
      <c r="H718">
        <v>-1</v>
      </c>
      <c r="I718">
        <v>143</v>
      </c>
      <c r="J718">
        <v>139</v>
      </c>
      <c r="K718">
        <v>127</v>
      </c>
      <c r="L718">
        <v>1</v>
      </c>
      <c r="M718">
        <v>2019</v>
      </c>
      <c r="N718">
        <v>9</v>
      </c>
      <c r="O718">
        <v>2</v>
      </c>
      <c r="P718">
        <v>3</v>
      </c>
      <c r="Q718" s="2" t="s">
        <v>17</v>
      </c>
    </row>
    <row r="719" spans="1:17" x14ac:dyDescent="0.3">
      <c r="A719" s="1">
        <v>43727</v>
      </c>
      <c r="B719" s="3">
        <v>141</v>
      </c>
      <c r="C719" s="3">
        <v>142</v>
      </c>
      <c r="D719" s="3">
        <v>141</v>
      </c>
      <c r="E719" s="3">
        <v>142</v>
      </c>
      <c r="F719" s="4">
        <v>8057400</v>
      </c>
      <c r="G719" s="3">
        <v>141</v>
      </c>
      <c r="H719">
        <v>0</v>
      </c>
      <c r="I719">
        <v>143</v>
      </c>
      <c r="J719">
        <v>140</v>
      </c>
      <c r="K719">
        <v>127</v>
      </c>
      <c r="L719">
        <v>1</v>
      </c>
      <c r="M719">
        <v>2019</v>
      </c>
      <c r="N719">
        <v>9</v>
      </c>
      <c r="O719">
        <v>3</v>
      </c>
      <c r="P719">
        <v>3</v>
      </c>
      <c r="Q719" s="2" t="s">
        <v>17</v>
      </c>
    </row>
    <row r="720" spans="1:17" x14ac:dyDescent="0.3">
      <c r="A720" s="1">
        <v>43728</v>
      </c>
      <c r="B720" s="3">
        <v>143</v>
      </c>
      <c r="C720" s="3">
        <v>143</v>
      </c>
      <c r="D720" s="3">
        <v>141</v>
      </c>
      <c r="E720" s="3">
        <v>142</v>
      </c>
      <c r="F720" s="4">
        <v>12110000</v>
      </c>
      <c r="G720" s="3">
        <v>143</v>
      </c>
      <c r="H720">
        <v>1</v>
      </c>
      <c r="I720">
        <v>143</v>
      </c>
      <c r="J720">
        <v>140</v>
      </c>
      <c r="K720">
        <v>127</v>
      </c>
      <c r="L720">
        <v>1</v>
      </c>
      <c r="M720">
        <v>2019</v>
      </c>
      <c r="N720">
        <v>9</v>
      </c>
      <c r="O720">
        <v>4</v>
      </c>
      <c r="P720">
        <v>3</v>
      </c>
      <c r="Q720" s="2" t="s">
        <v>17</v>
      </c>
    </row>
    <row r="721" spans="1:17" x14ac:dyDescent="0.3">
      <c r="A721" s="1">
        <v>43731</v>
      </c>
      <c r="B721" s="3">
        <v>144</v>
      </c>
      <c r="C721" s="3">
        <v>144</v>
      </c>
      <c r="D721" s="3">
        <v>143</v>
      </c>
      <c r="E721" s="3">
        <v>143</v>
      </c>
      <c r="F721" s="4">
        <v>9006500</v>
      </c>
      <c r="G721" s="3">
        <v>144</v>
      </c>
      <c r="H721">
        <v>1</v>
      </c>
      <c r="I721">
        <v>143</v>
      </c>
      <c r="J721">
        <v>140</v>
      </c>
      <c r="K721">
        <v>128</v>
      </c>
      <c r="L721">
        <v>1</v>
      </c>
      <c r="M721">
        <v>2019</v>
      </c>
      <c r="N721">
        <v>9</v>
      </c>
      <c r="O721">
        <v>0</v>
      </c>
      <c r="P721">
        <v>3</v>
      </c>
      <c r="Q721" s="2" t="s">
        <v>17</v>
      </c>
    </row>
    <row r="722" spans="1:17" x14ac:dyDescent="0.3">
      <c r="A722" s="1">
        <v>43732</v>
      </c>
      <c r="B722" s="3">
        <v>145</v>
      </c>
      <c r="C722" s="3">
        <v>145</v>
      </c>
      <c r="D722" s="3">
        <v>143</v>
      </c>
      <c r="E722" s="3">
        <v>143</v>
      </c>
      <c r="F722" s="4">
        <v>10576300</v>
      </c>
      <c r="G722" s="3">
        <v>145</v>
      </c>
      <c r="H722">
        <v>1</v>
      </c>
      <c r="I722">
        <v>143</v>
      </c>
      <c r="J722">
        <v>140</v>
      </c>
      <c r="K722">
        <v>128</v>
      </c>
      <c r="L722">
        <v>1</v>
      </c>
      <c r="M722">
        <v>2019</v>
      </c>
      <c r="N722">
        <v>9</v>
      </c>
      <c r="O722">
        <v>1</v>
      </c>
      <c r="P722">
        <v>3</v>
      </c>
      <c r="Q722" s="2" t="s">
        <v>17</v>
      </c>
    </row>
    <row r="723" spans="1:17" x14ac:dyDescent="0.3">
      <c r="A723" s="1">
        <v>43733</v>
      </c>
      <c r="B723" s="3">
        <v>142</v>
      </c>
      <c r="C723" s="3">
        <v>144</v>
      </c>
      <c r="D723" s="3">
        <v>141</v>
      </c>
      <c r="E723" s="3">
        <v>144</v>
      </c>
      <c r="F723" s="4">
        <v>11648400</v>
      </c>
      <c r="G723" s="3">
        <v>142</v>
      </c>
      <c r="H723">
        <v>-2</v>
      </c>
      <c r="I723">
        <v>143</v>
      </c>
      <c r="J723">
        <v>140</v>
      </c>
      <c r="K723">
        <v>128</v>
      </c>
      <c r="L723">
        <v>1</v>
      </c>
      <c r="M723">
        <v>2019</v>
      </c>
      <c r="N723">
        <v>9</v>
      </c>
      <c r="O723">
        <v>2</v>
      </c>
      <c r="P723">
        <v>3</v>
      </c>
      <c r="Q723" s="2" t="s">
        <v>17</v>
      </c>
    </row>
    <row r="724" spans="1:17" x14ac:dyDescent="0.3">
      <c r="A724" s="1">
        <v>43734</v>
      </c>
      <c r="B724" s="3">
        <v>142</v>
      </c>
      <c r="C724" s="3">
        <v>143</v>
      </c>
      <c r="D724" s="3">
        <v>142</v>
      </c>
      <c r="E724" s="3">
        <v>142</v>
      </c>
      <c r="F724" s="4">
        <v>7984600</v>
      </c>
      <c r="G724" s="3">
        <v>142</v>
      </c>
      <c r="H724">
        <v>0</v>
      </c>
      <c r="I724">
        <v>142</v>
      </c>
      <c r="J724">
        <v>140</v>
      </c>
      <c r="K724">
        <v>128</v>
      </c>
      <c r="L724">
        <v>1</v>
      </c>
      <c r="M724">
        <v>2019</v>
      </c>
      <c r="N724">
        <v>9</v>
      </c>
      <c r="O724">
        <v>3</v>
      </c>
      <c r="P724">
        <v>3</v>
      </c>
      <c r="Q724" s="2" t="s">
        <v>17</v>
      </c>
    </row>
    <row r="725" spans="1:17" x14ac:dyDescent="0.3">
      <c r="A725" s="1">
        <v>43735</v>
      </c>
      <c r="B725" s="3">
        <v>141</v>
      </c>
      <c r="C725" s="3">
        <v>142</v>
      </c>
      <c r="D725" s="3">
        <v>140</v>
      </c>
      <c r="E725" s="3">
        <v>140</v>
      </c>
      <c r="F725" s="4">
        <v>9804200</v>
      </c>
      <c r="G725" s="3">
        <v>141</v>
      </c>
      <c r="H725">
        <v>-1</v>
      </c>
      <c r="I725">
        <v>142</v>
      </c>
      <c r="J725">
        <v>141</v>
      </c>
      <c r="K725">
        <v>128</v>
      </c>
      <c r="L725">
        <v>1</v>
      </c>
      <c r="M725">
        <v>2019</v>
      </c>
      <c r="N725">
        <v>9</v>
      </c>
      <c r="O725">
        <v>4</v>
      </c>
      <c r="P725">
        <v>3</v>
      </c>
      <c r="Q725" s="2" t="s">
        <v>17</v>
      </c>
    </row>
    <row r="726" spans="1:17" x14ac:dyDescent="0.3">
      <c r="A726" s="1">
        <v>43738</v>
      </c>
      <c r="B726" s="3">
        <v>139</v>
      </c>
      <c r="C726" s="3">
        <v>140</v>
      </c>
      <c r="D726" s="3">
        <v>138</v>
      </c>
      <c r="E726" s="3">
        <v>140</v>
      </c>
      <c r="F726" s="4">
        <v>15459100</v>
      </c>
      <c r="G726" s="3">
        <v>139</v>
      </c>
      <c r="H726">
        <v>-2</v>
      </c>
      <c r="I726">
        <v>142</v>
      </c>
      <c r="J726">
        <v>141</v>
      </c>
      <c r="K726">
        <v>128</v>
      </c>
      <c r="L726">
        <v>1</v>
      </c>
      <c r="M726">
        <v>2019</v>
      </c>
      <c r="N726">
        <v>9</v>
      </c>
      <c r="O726">
        <v>0</v>
      </c>
      <c r="P726">
        <v>3</v>
      </c>
      <c r="Q726" s="2" t="s">
        <v>17</v>
      </c>
    </row>
    <row r="727" spans="1:17" x14ac:dyDescent="0.3">
      <c r="A727" s="1">
        <v>43739</v>
      </c>
      <c r="B727" s="3">
        <v>140</v>
      </c>
      <c r="C727" s="3">
        <v>140</v>
      </c>
      <c r="D727" s="3">
        <v>138</v>
      </c>
      <c r="E727" s="3">
        <v>138</v>
      </c>
      <c r="F727" s="4">
        <v>12476200</v>
      </c>
      <c r="G727" s="3">
        <v>140</v>
      </c>
      <c r="H727">
        <v>1</v>
      </c>
      <c r="I727">
        <v>142</v>
      </c>
      <c r="J727">
        <v>141</v>
      </c>
      <c r="K727">
        <v>128</v>
      </c>
      <c r="L727">
        <v>1</v>
      </c>
      <c r="M727">
        <v>2019</v>
      </c>
      <c r="N727">
        <v>10</v>
      </c>
      <c r="O727">
        <v>1</v>
      </c>
      <c r="P727">
        <v>4</v>
      </c>
      <c r="Q727" s="2" t="s">
        <v>17</v>
      </c>
    </row>
    <row r="728" spans="1:17" x14ac:dyDescent="0.3">
      <c r="A728" s="1">
        <v>43740</v>
      </c>
      <c r="B728" s="3">
        <v>141</v>
      </c>
      <c r="C728" s="3">
        <v>142</v>
      </c>
      <c r="D728" s="3">
        <v>140</v>
      </c>
      <c r="E728" s="3">
        <v>141</v>
      </c>
      <c r="F728" s="4">
        <v>11914300</v>
      </c>
      <c r="G728" s="3">
        <v>141</v>
      </c>
      <c r="H728">
        <v>1</v>
      </c>
      <c r="I728">
        <v>141</v>
      </c>
      <c r="J728">
        <v>141</v>
      </c>
      <c r="K728">
        <v>128</v>
      </c>
      <c r="L728">
        <v>1</v>
      </c>
      <c r="M728">
        <v>2019</v>
      </c>
      <c r="N728">
        <v>10</v>
      </c>
      <c r="O728">
        <v>2</v>
      </c>
      <c r="P728">
        <v>4</v>
      </c>
      <c r="Q728" s="2" t="s">
        <v>17</v>
      </c>
    </row>
    <row r="729" spans="1:17" x14ac:dyDescent="0.3">
      <c r="A729" s="1">
        <v>43741</v>
      </c>
      <c r="B729" s="3">
        <v>142</v>
      </c>
      <c r="C729" s="3">
        <v>143</v>
      </c>
      <c r="D729" s="3">
        <v>141</v>
      </c>
      <c r="E729" s="3">
        <v>141</v>
      </c>
      <c r="F729" s="4">
        <v>12396100</v>
      </c>
      <c r="G729" s="3">
        <v>142</v>
      </c>
      <c r="H729">
        <v>0</v>
      </c>
      <c r="I729">
        <v>141</v>
      </c>
      <c r="J729">
        <v>141</v>
      </c>
      <c r="K729">
        <v>128</v>
      </c>
      <c r="L729">
        <v>1</v>
      </c>
      <c r="M729">
        <v>2019</v>
      </c>
      <c r="N729">
        <v>10</v>
      </c>
      <c r="O729">
        <v>3</v>
      </c>
      <c r="P729">
        <v>4</v>
      </c>
      <c r="Q729" s="2" t="s">
        <v>17</v>
      </c>
    </row>
    <row r="730" spans="1:17" x14ac:dyDescent="0.3">
      <c r="A730" s="1">
        <v>43742</v>
      </c>
      <c r="B730" s="3">
        <v>142</v>
      </c>
      <c r="C730" s="3">
        <v>142</v>
      </c>
      <c r="D730" s="3">
        <v>141</v>
      </c>
      <c r="E730" s="3">
        <v>141</v>
      </c>
      <c r="F730" s="4">
        <v>9651000</v>
      </c>
      <c r="G730" s="3">
        <v>142</v>
      </c>
      <c r="H730">
        <v>0</v>
      </c>
      <c r="I730">
        <v>141</v>
      </c>
      <c r="J730">
        <v>141</v>
      </c>
      <c r="K730">
        <v>129</v>
      </c>
      <c r="L730">
        <v>1</v>
      </c>
      <c r="M730">
        <v>2019</v>
      </c>
      <c r="N730">
        <v>10</v>
      </c>
      <c r="O730">
        <v>4</v>
      </c>
      <c r="P730">
        <v>4</v>
      </c>
      <c r="Q730" s="2" t="s">
        <v>17</v>
      </c>
    </row>
    <row r="731" spans="1:17" x14ac:dyDescent="0.3">
      <c r="A731" s="1">
        <v>43745</v>
      </c>
      <c r="B731" s="3">
        <v>141</v>
      </c>
      <c r="C731" s="3">
        <v>142</v>
      </c>
      <c r="D731" s="3">
        <v>140</v>
      </c>
      <c r="E731" s="3">
        <v>141</v>
      </c>
      <c r="F731" s="4">
        <v>6127200</v>
      </c>
      <c r="G731" s="3">
        <v>141</v>
      </c>
      <c r="H731">
        <v>-1</v>
      </c>
      <c r="I731">
        <v>141</v>
      </c>
      <c r="J731">
        <v>141</v>
      </c>
      <c r="K731">
        <v>129</v>
      </c>
      <c r="L731">
        <v>1</v>
      </c>
      <c r="M731">
        <v>2019</v>
      </c>
      <c r="N731">
        <v>10</v>
      </c>
      <c r="O731">
        <v>0</v>
      </c>
      <c r="P731">
        <v>4</v>
      </c>
      <c r="Q731" s="2" t="s">
        <v>17</v>
      </c>
    </row>
    <row r="732" spans="1:17" x14ac:dyDescent="0.3">
      <c r="A732" s="1">
        <v>43746</v>
      </c>
      <c r="B732" s="3">
        <v>142</v>
      </c>
      <c r="C732" s="3">
        <v>142</v>
      </c>
      <c r="D732" s="3">
        <v>141</v>
      </c>
      <c r="E732" s="3">
        <v>142</v>
      </c>
      <c r="F732" s="4">
        <v>10428900</v>
      </c>
      <c r="G732" s="3">
        <v>142</v>
      </c>
      <c r="H732">
        <v>1</v>
      </c>
      <c r="I732">
        <v>141</v>
      </c>
      <c r="J732">
        <v>142</v>
      </c>
      <c r="K732">
        <v>129</v>
      </c>
      <c r="L732">
        <v>1</v>
      </c>
      <c r="M732">
        <v>2019</v>
      </c>
      <c r="N732">
        <v>10</v>
      </c>
      <c r="O732">
        <v>1</v>
      </c>
      <c r="P732">
        <v>4</v>
      </c>
      <c r="Q732" s="2" t="s">
        <v>17</v>
      </c>
    </row>
    <row r="733" spans="1:17" x14ac:dyDescent="0.3">
      <c r="A733" s="1">
        <v>43747</v>
      </c>
      <c r="B733" s="3">
        <v>142</v>
      </c>
      <c r="C733" s="3">
        <v>143</v>
      </c>
      <c r="D733" s="3">
        <v>142</v>
      </c>
      <c r="E733" s="3">
        <v>142</v>
      </c>
      <c r="F733" s="4">
        <v>6927700</v>
      </c>
      <c r="G733" s="3">
        <v>142</v>
      </c>
      <c r="H733">
        <v>0</v>
      </c>
      <c r="I733">
        <v>142</v>
      </c>
      <c r="J733">
        <v>142</v>
      </c>
      <c r="K733">
        <v>129</v>
      </c>
      <c r="L733">
        <v>1</v>
      </c>
      <c r="M733">
        <v>2019</v>
      </c>
      <c r="N733">
        <v>10</v>
      </c>
      <c r="O733">
        <v>2</v>
      </c>
      <c r="P733">
        <v>4</v>
      </c>
      <c r="Q733" s="2" t="s">
        <v>17</v>
      </c>
    </row>
    <row r="734" spans="1:17" x14ac:dyDescent="0.3">
      <c r="A734" s="1">
        <v>43748</v>
      </c>
      <c r="B734" s="3">
        <v>141</v>
      </c>
      <c r="C734" s="3">
        <v>142</v>
      </c>
      <c r="D734" s="3">
        <v>141</v>
      </c>
      <c r="E734" s="3">
        <v>142</v>
      </c>
      <c r="F734" s="4">
        <v>9301700</v>
      </c>
      <c r="G734" s="3">
        <v>141</v>
      </c>
      <c r="H734">
        <v>-1</v>
      </c>
      <c r="I734">
        <v>141</v>
      </c>
      <c r="J734">
        <v>142</v>
      </c>
      <c r="K734">
        <v>129</v>
      </c>
      <c r="L734">
        <v>1</v>
      </c>
      <c r="M734">
        <v>2019</v>
      </c>
      <c r="N734">
        <v>10</v>
      </c>
      <c r="O734">
        <v>3</v>
      </c>
      <c r="P734">
        <v>4</v>
      </c>
      <c r="Q734" s="2" t="s">
        <v>17</v>
      </c>
    </row>
    <row r="735" spans="1:17" x14ac:dyDescent="0.3">
      <c r="A735" s="1">
        <v>43749</v>
      </c>
      <c r="B735" s="3">
        <v>140</v>
      </c>
      <c r="C735" s="3">
        <v>140</v>
      </c>
      <c r="D735" s="3">
        <v>139</v>
      </c>
      <c r="E735" s="3">
        <v>140</v>
      </c>
      <c r="F735" s="4">
        <v>11333400</v>
      </c>
      <c r="G735" s="3">
        <v>140</v>
      </c>
      <c r="H735">
        <v>-1</v>
      </c>
      <c r="I735">
        <v>141</v>
      </c>
      <c r="J735">
        <v>142</v>
      </c>
      <c r="K735">
        <v>129</v>
      </c>
      <c r="L735">
        <v>1</v>
      </c>
      <c r="M735">
        <v>2019</v>
      </c>
      <c r="N735">
        <v>10</v>
      </c>
      <c r="O735">
        <v>4</v>
      </c>
      <c r="P735">
        <v>4</v>
      </c>
      <c r="Q735" s="2" t="s">
        <v>17</v>
      </c>
    </row>
    <row r="736" spans="1:17" x14ac:dyDescent="0.3">
      <c r="A736" s="1">
        <v>43752</v>
      </c>
      <c r="B736" s="3">
        <v>141</v>
      </c>
      <c r="C736" s="3">
        <v>141</v>
      </c>
      <c r="D736" s="3">
        <v>140</v>
      </c>
      <c r="E736" s="3">
        <v>140</v>
      </c>
      <c r="F736" s="4">
        <v>4006700</v>
      </c>
      <c r="G736" s="3">
        <v>141</v>
      </c>
      <c r="H736">
        <v>0</v>
      </c>
      <c r="I736">
        <v>141</v>
      </c>
      <c r="J736">
        <v>142</v>
      </c>
      <c r="K736">
        <v>129</v>
      </c>
      <c r="L736">
        <v>1</v>
      </c>
      <c r="M736">
        <v>2019</v>
      </c>
      <c r="N736">
        <v>10</v>
      </c>
      <c r="O736">
        <v>0</v>
      </c>
      <c r="P736">
        <v>4</v>
      </c>
      <c r="Q736" s="2" t="s">
        <v>17</v>
      </c>
    </row>
    <row r="737" spans="1:17" x14ac:dyDescent="0.3">
      <c r="A737" s="1">
        <v>43753</v>
      </c>
      <c r="B737" s="3">
        <v>140</v>
      </c>
      <c r="C737" s="3">
        <v>140</v>
      </c>
      <c r="D737" s="3">
        <v>139</v>
      </c>
      <c r="E737" s="3">
        <v>140</v>
      </c>
      <c r="F737" s="4">
        <v>9128300</v>
      </c>
      <c r="G737" s="3">
        <v>140</v>
      </c>
      <c r="H737">
        <v>-1</v>
      </c>
      <c r="I737">
        <v>141</v>
      </c>
      <c r="J737">
        <v>142</v>
      </c>
      <c r="K737">
        <v>129</v>
      </c>
      <c r="L737">
        <v>1</v>
      </c>
      <c r="M737">
        <v>2019</v>
      </c>
      <c r="N737">
        <v>10</v>
      </c>
      <c r="O737">
        <v>1</v>
      </c>
      <c r="P737">
        <v>4</v>
      </c>
      <c r="Q737" s="2" t="s">
        <v>17</v>
      </c>
    </row>
    <row r="738" spans="1:17" x14ac:dyDescent="0.3">
      <c r="A738" s="1">
        <v>43754</v>
      </c>
      <c r="B738" s="3">
        <v>140</v>
      </c>
      <c r="C738" s="3">
        <v>141</v>
      </c>
      <c r="D738" s="3">
        <v>140</v>
      </c>
      <c r="E738" s="3">
        <v>140</v>
      </c>
      <c r="F738" s="4">
        <v>10330300</v>
      </c>
      <c r="G738" s="3">
        <v>140</v>
      </c>
      <c r="H738">
        <v>1</v>
      </c>
      <c r="I738">
        <v>141</v>
      </c>
      <c r="J738">
        <v>142</v>
      </c>
      <c r="K738">
        <v>129</v>
      </c>
      <c r="L738">
        <v>1</v>
      </c>
      <c r="M738">
        <v>2019</v>
      </c>
      <c r="N738">
        <v>10</v>
      </c>
      <c r="O738">
        <v>2</v>
      </c>
      <c r="P738">
        <v>4</v>
      </c>
      <c r="Q738" s="2" t="s">
        <v>17</v>
      </c>
    </row>
    <row r="739" spans="1:17" x14ac:dyDescent="0.3">
      <c r="A739" s="1">
        <v>43755</v>
      </c>
      <c r="B739" s="3">
        <v>141</v>
      </c>
      <c r="C739" s="3">
        <v>141</v>
      </c>
      <c r="D739" s="3">
        <v>140</v>
      </c>
      <c r="E739" s="3">
        <v>141</v>
      </c>
      <c r="F739" s="4">
        <v>6131000</v>
      </c>
      <c r="G739" s="3">
        <v>141</v>
      </c>
      <c r="H739">
        <v>0</v>
      </c>
      <c r="I739">
        <v>141</v>
      </c>
      <c r="J739">
        <v>142</v>
      </c>
      <c r="K739">
        <v>130</v>
      </c>
      <c r="L739">
        <v>1</v>
      </c>
      <c r="M739">
        <v>2019</v>
      </c>
      <c r="N739">
        <v>10</v>
      </c>
      <c r="O739">
        <v>3</v>
      </c>
      <c r="P739">
        <v>4</v>
      </c>
      <c r="Q739" s="2" t="s">
        <v>17</v>
      </c>
    </row>
    <row r="740" spans="1:17" x14ac:dyDescent="0.3">
      <c r="A740" s="1">
        <v>43756</v>
      </c>
      <c r="B740" s="3">
        <v>140</v>
      </c>
      <c r="C740" s="3">
        <v>141</v>
      </c>
      <c r="D740" s="3">
        <v>140</v>
      </c>
      <c r="E740" s="3">
        <v>141</v>
      </c>
      <c r="F740" s="4">
        <v>6416100</v>
      </c>
      <c r="G740" s="3">
        <v>140</v>
      </c>
      <c r="H740">
        <v>0</v>
      </c>
      <c r="I740">
        <v>141</v>
      </c>
      <c r="J740">
        <v>142</v>
      </c>
      <c r="K740">
        <v>130</v>
      </c>
      <c r="L740">
        <v>1</v>
      </c>
      <c r="M740">
        <v>2019</v>
      </c>
      <c r="N740">
        <v>10</v>
      </c>
      <c r="O740">
        <v>4</v>
      </c>
      <c r="P740">
        <v>4</v>
      </c>
      <c r="Q740" s="2" t="s">
        <v>17</v>
      </c>
    </row>
    <row r="741" spans="1:17" x14ac:dyDescent="0.3">
      <c r="A741" s="1">
        <v>43759</v>
      </c>
      <c r="B741" s="3">
        <v>140</v>
      </c>
      <c r="C741" s="3">
        <v>141</v>
      </c>
      <c r="D741" s="3">
        <v>140</v>
      </c>
      <c r="E741" s="3">
        <v>141</v>
      </c>
      <c r="F741" s="4">
        <v>8306200</v>
      </c>
      <c r="G741" s="3">
        <v>140</v>
      </c>
      <c r="H741">
        <v>0</v>
      </c>
      <c r="I741">
        <v>141</v>
      </c>
      <c r="J741">
        <v>142</v>
      </c>
      <c r="K741">
        <v>130</v>
      </c>
      <c r="L741">
        <v>1</v>
      </c>
      <c r="M741">
        <v>2019</v>
      </c>
      <c r="N741">
        <v>10</v>
      </c>
      <c r="O741">
        <v>0</v>
      </c>
      <c r="P741">
        <v>4</v>
      </c>
      <c r="Q741" s="2" t="s">
        <v>17</v>
      </c>
    </row>
    <row r="742" spans="1:17" x14ac:dyDescent="0.3">
      <c r="A742" s="1">
        <v>43760</v>
      </c>
      <c r="B742" s="3">
        <v>140</v>
      </c>
      <c r="C742" s="3">
        <v>140</v>
      </c>
      <c r="D742" s="3">
        <v>140</v>
      </c>
      <c r="E742" s="3">
        <v>140</v>
      </c>
      <c r="F742" s="4">
        <v>3879700</v>
      </c>
      <c r="G742" s="3">
        <v>140</v>
      </c>
      <c r="H742">
        <v>0</v>
      </c>
      <c r="I742">
        <v>141</v>
      </c>
      <c r="J742">
        <v>142</v>
      </c>
      <c r="K742">
        <v>130</v>
      </c>
      <c r="L742">
        <v>1</v>
      </c>
      <c r="M742">
        <v>2019</v>
      </c>
      <c r="N742">
        <v>10</v>
      </c>
      <c r="O742">
        <v>1</v>
      </c>
      <c r="P742">
        <v>4</v>
      </c>
      <c r="Q742" s="2" t="s">
        <v>17</v>
      </c>
    </row>
    <row r="743" spans="1:17" x14ac:dyDescent="0.3">
      <c r="A743" s="1">
        <v>43761</v>
      </c>
      <c r="B743" s="3">
        <v>141</v>
      </c>
      <c r="C743" s="3">
        <v>141</v>
      </c>
      <c r="D743" s="3">
        <v>141</v>
      </c>
      <c r="E743" s="3">
        <v>141</v>
      </c>
      <c r="F743" s="4">
        <v>4155300</v>
      </c>
      <c r="G743" s="3">
        <v>141</v>
      </c>
      <c r="H743">
        <v>0</v>
      </c>
      <c r="I743">
        <v>141</v>
      </c>
      <c r="J743">
        <v>142</v>
      </c>
      <c r="K743">
        <v>130</v>
      </c>
      <c r="L743">
        <v>1</v>
      </c>
      <c r="M743">
        <v>2019</v>
      </c>
      <c r="N743">
        <v>10</v>
      </c>
      <c r="O743">
        <v>2</v>
      </c>
      <c r="P743">
        <v>4</v>
      </c>
      <c r="Q743" s="2" t="s">
        <v>17</v>
      </c>
    </row>
    <row r="744" spans="1:17" x14ac:dyDescent="0.3">
      <c r="A744" s="1">
        <v>43762</v>
      </c>
      <c r="B744" s="3">
        <v>142</v>
      </c>
      <c r="C744" s="3">
        <v>142</v>
      </c>
      <c r="D744" s="3">
        <v>141</v>
      </c>
      <c r="E744" s="3">
        <v>141</v>
      </c>
      <c r="F744" s="4">
        <v>6174800</v>
      </c>
      <c r="G744" s="3">
        <v>142</v>
      </c>
      <c r="H744">
        <v>1</v>
      </c>
      <c r="I744">
        <v>141</v>
      </c>
      <c r="J744">
        <v>142</v>
      </c>
      <c r="K744">
        <v>130</v>
      </c>
      <c r="L744">
        <v>1</v>
      </c>
      <c r="M744">
        <v>2019</v>
      </c>
      <c r="N744">
        <v>10</v>
      </c>
      <c r="O744">
        <v>3</v>
      </c>
      <c r="P744">
        <v>4</v>
      </c>
      <c r="Q744" s="2" t="s">
        <v>17</v>
      </c>
    </row>
    <row r="745" spans="1:17" x14ac:dyDescent="0.3">
      <c r="A745" s="1">
        <v>43763</v>
      </c>
      <c r="B745" s="3">
        <v>142</v>
      </c>
      <c r="C745" s="3">
        <v>143</v>
      </c>
      <c r="D745" s="3">
        <v>141</v>
      </c>
      <c r="E745" s="3">
        <v>143</v>
      </c>
      <c r="F745" s="4">
        <v>6011500</v>
      </c>
      <c r="G745" s="3">
        <v>142</v>
      </c>
      <c r="H745">
        <v>0</v>
      </c>
      <c r="I745">
        <v>141</v>
      </c>
      <c r="J745">
        <v>142</v>
      </c>
      <c r="K745">
        <v>130</v>
      </c>
      <c r="L745">
        <v>1</v>
      </c>
      <c r="M745">
        <v>2019</v>
      </c>
      <c r="N745">
        <v>10</v>
      </c>
      <c r="O745">
        <v>4</v>
      </c>
      <c r="P745">
        <v>4</v>
      </c>
      <c r="Q745" s="2" t="s">
        <v>17</v>
      </c>
    </row>
    <row r="746" spans="1:17" x14ac:dyDescent="0.3">
      <c r="A746" s="1">
        <v>43766</v>
      </c>
      <c r="B746" s="3">
        <v>141</v>
      </c>
      <c r="C746" s="3">
        <v>141</v>
      </c>
      <c r="D746" s="3">
        <v>140</v>
      </c>
      <c r="E746" s="3">
        <v>141</v>
      </c>
      <c r="F746" s="4">
        <v>5442000</v>
      </c>
      <c r="G746" s="3">
        <v>141</v>
      </c>
      <c r="H746">
        <v>-1</v>
      </c>
      <c r="I746">
        <v>141</v>
      </c>
      <c r="J746">
        <v>142</v>
      </c>
      <c r="K746">
        <v>130</v>
      </c>
      <c r="L746">
        <v>1</v>
      </c>
      <c r="M746">
        <v>2019</v>
      </c>
      <c r="N746">
        <v>10</v>
      </c>
      <c r="O746">
        <v>0</v>
      </c>
      <c r="P746">
        <v>4</v>
      </c>
      <c r="Q746" s="2" t="s">
        <v>17</v>
      </c>
    </row>
    <row r="747" spans="1:17" x14ac:dyDescent="0.3">
      <c r="A747" s="1">
        <v>43767</v>
      </c>
      <c r="B747" s="3">
        <v>140</v>
      </c>
      <c r="C747" s="3">
        <v>141</v>
      </c>
      <c r="D747" s="3">
        <v>140</v>
      </c>
      <c r="E747" s="3">
        <v>140</v>
      </c>
      <c r="F747" s="4">
        <v>3835400</v>
      </c>
      <c r="G747" s="3">
        <v>140</v>
      </c>
      <c r="H747">
        <v>0</v>
      </c>
      <c r="I747">
        <v>141</v>
      </c>
      <c r="J747">
        <v>142</v>
      </c>
      <c r="K747">
        <v>130</v>
      </c>
      <c r="L747">
        <v>1</v>
      </c>
      <c r="M747">
        <v>2019</v>
      </c>
      <c r="N747">
        <v>10</v>
      </c>
      <c r="O747">
        <v>1</v>
      </c>
      <c r="P747">
        <v>4</v>
      </c>
      <c r="Q747" s="2" t="s">
        <v>17</v>
      </c>
    </row>
    <row r="748" spans="1:17" x14ac:dyDescent="0.3">
      <c r="A748" s="1">
        <v>43768</v>
      </c>
      <c r="B748" s="3">
        <v>141</v>
      </c>
      <c r="C748" s="3">
        <v>141</v>
      </c>
      <c r="D748" s="3">
        <v>140</v>
      </c>
      <c r="E748" s="3">
        <v>141</v>
      </c>
      <c r="F748" s="4">
        <v>6992900</v>
      </c>
      <c r="G748" s="3">
        <v>141</v>
      </c>
      <c r="H748">
        <v>1</v>
      </c>
      <c r="I748">
        <v>141</v>
      </c>
      <c r="J748">
        <v>142</v>
      </c>
      <c r="K748">
        <v>130</v>
      </c>
      <c r="L748">
        <v>1</v>
      </c>
      <c r="M748">
        <v>2019</v>
      </c>
      <c r="N748">
        <v>10</v>
      </c>
      <c r="O748">
        <v>2</v>
      </c>
      <c r="P748">
        <v>4</v>
      </c>
      <c r="Q748" s="2" t="s">
        <v>17</v>
      </c>
    </row>
    <row r="749" spans="1:17" x14ac:dyDescent="0.3">
      <c r="A749" s="1">
        <v>43769</v>
      </c>
      <c r="B749" s="3">
        <v>142</v>
      </c>
      <c r="C749" s="3">
        <v>143</v>
      </c>
      <c r="D749" s="3">
        <v>142</v>
      </c>
      <c r="E749" s="3">
        <v>142</v>
      </c>
      <c r="F749" s="4">
        <v>7050900</v>
      </c>
      <c r="G749" s="3">
        <v>142</v>
      </c>
      <c r="H749">
        <v>1</v>
      </c>
      <c r="I749">
        <v>141</v>
      </c>
      <c r="J749">
        <v>142</v>
      </c>
      <c r="K749">
        <v>130</v>
      </c>
      <c r="L749">
        <v>1</v>
      </c>
      <c r="M749">
        <v>2019</v>
      </c>
      <c r="N749">
        <v>10</v>
      </c>
      <c r="O749">
        <v>3</v>
      </c>
      <c r="P749">
        <v>4</v>
      </c>
      <c r="Q749" s="2" t="s">
        <v>17</v>
      </c>
    </row>
    <row r="750" spans="1:17" x14ac:dyDescent="0.3">
      <c r="A750" s="1">
        <v>43770</v>
      </c>
      <c r="B750" s="3">
        <v>143</v>
      </c>
      <c r="C750" s="3">
        <v>143</v>
      </c>
      <c r="D750" s="3">
        <v>142</v>
      </c>
      <c r="E750" s="3">
        <v>142</v>
      </c>
      <c r="F750" s="4">
        <v>8090000</v>
      </c>
      <c r="G750" s="3">
        <v>143</v>
      </c>
      <c r="H750">
        <v>0</v>
      </c>
      <c r="I750">
        <v>141</v>
      </c>
      <c r="J750">
        <v>142</v>
      </c>
      <c r="K750">
        <v>131</v>
      </c>
      <c r="L750">
        <v>1</v>
      </c>
      <c r="M750">
        <v>2019</v>
      </c>
      <c r="N750">
        <v>11</v>
      </c>
      <c r="O750">
        <v>4</v>
      </c>
      <c r="P750">
        <v>4</v>
      </c>
      <c r="Q750" s="2" t="s">
        <v>17</v>
      </c>
    </row>
    <row r="751" spans="1:17" x14ac:dyDescent="0.3">
      <c r="A751" s="1">
        <v>43773</v>
      </c>
      <c r="B751" s="3">
        <v>142</v>
      </c>
      <c r="C751" s="3">
        <v>142</v>
      </c>
      <c r="D751" s="3">
        <v>142</v>
      </c>
      <c r="E751" s="3">
        <v>142</v>
      </c>
      <c r="F751" s="4">
        <v>4740300</v>
      </c>
      <c r="G751" s="3">
        <v>142</v>
      </c>
      <c r="H751">
        <v>0</v>
      </c>
      <c r="I751">
        <v>141</v>
      </c>
      <c r="J751">
        <v>142</v>
      </c>
      <c r="K751">
        <v>131</v>
      </c>
      <c r="L751">
        <v>1</v>
      </c>
      <c r="M751">
        <v>2019</v>
      </c>
      <c r="N751">
        <v>11</v>
      </c>
      <c r="O751">
        <v>0</v>
      </c>
      <c r="P751">
        <v>4</v>
      </c>
      <c r="Q751" s="2" t="s">
        <v>17</v>
      </c>
    </row>
    <row r="752" spans="1:17" x14ac:dyDescent="0.3">
      <c r="A752" s="1">
        <v>43774</v>
      </c>
      <c r="B752" s="3">
        <v>140</v>
      </c>
      <c r="C752" s="3">
        <v>141</v>
      </c>
      <c r="D752" s="3">
        <v>139</v>
      </c>
      <c r="E752" s="3">
        <v>141</v>
      </c>
      <c r="F752" s="4">
        <v>11782300</v>
      </c>
      <c r="G752" s="3">
        <v>140</v>
      </c>
      <c r="H752">
        <v>-2</v>
      </c>
      <c r="I752">
        <v>141</v>
      </c>
      <c r="J752">
        <v>142</v>
      </c>
      <c r="K752">
        <v>131</v>
      </c>
      <c r="L752">
        <v>1</v>
      </c>
      <c r="M752">
        <v>2019</v>
      </c>
      <c r="N752">
        <v>11</v>
      </c>
      <c r="O752">
        <v>1</v>
      </c>
      <c r="P752">
        <v>4</v>
      </c>
      <c r="Q752" s="2" t="s">
        <v>17</v>
      </c>
    </row>
    <row r="753" spans="1:17" x14ac:dyDescent="0.3">
      <c r="A753" s="1">
        <v>43775</v>
      </c>
      <c r="B753" s="3">
        <v>140</v>
      </c>
      <c r="C753" s="3">
        <v>141</v>
      </c>
      <c r="D753" s="3">
        <v>140</v>
      </c>
      <c r="E753" s="3">
        <v>140</v>
      </c>
      <c r="F753" s="4">
        <v>6416500</v>
      </c>
      <c r="G753" s="3">
        <v>140</v>
      </c>
      <c r="H753">
        <v>0</v>
      </c>
      <c r="I753">
        <v>141</v>
      </c>
      <c r="J753">
        <v>142</v>
      </c>
      <c r="K753">
        <v>131</v>
      </c>
      <c r="L753">
        <v>1</v>
      </c>
      <c r="M753">
        <v>2019</v>
      </c>
      <c r="N753">
        <v>11</v>
      </c>
      <c r="O753">
        <v>2</v>
      </c>
      <c r="P753">
        <v>4</v>
      </c>
      <c r="Q753" s="2" t="s">
        <v>17</v>
      </c>
    </row>
    <row r="754" spans="1:17" x14ac:dyDescent="0.3">
      <c r="A754" s="1">
        <v>43776</v>
      </c>
      <c r="B754" s="3">
        <v>138</v>
      </c>
      <c r="C754" s="3">
        <v>140</v>
      </c>
      <c r="D754" s="3">
        <v>138</v>
      </c>
      <c r="E754" s="3">
        <v>140</v>
      </c>
      <c r="F754" s="4">
        <v>15214200</v>
      </c>
      <c r="G754" s="3">
        <v>138</v>
      </c>
      <c r="H754">
        <v>-2</v>
      </c>
      <c r="I754">
        <v>141</v>
      </c>
      <c r="J754">
        <v>141</v>
      </c>
      <c r="K754">
        <v>131</v>
      </c>
      <c r="L754">
        <v>1</v>
      </c>
      <c r="M754">
        <v>2019</v>
      </c>
      <c r="N754">
        <v>11</v>
      </c>
      <c r="O754">
        <v>3</v>
      </c>
      <c r="P754">
        <v>4</v>
      </c>
      <c r="Q754" s="2" t="s">
        <v>17</v>
      </c>
    </row>
    <row r="755" spans="1:17" x14ac:dyDescent="0.3">
      <c r="A755" s="1">
        <v>43777</v>
      </c>
      <c r="B755" s="3">
        <v>137</v>
      </c>
      <c r="C755" s="3">
        <v>138</v>
      </c>
      <c r="D755" s="3">
        <v>137</v>
      </c>
      <c r="E755" s="3">
        <v>138</v>
      </c>
      <c r="F755" s="4">
        <v>10377400</v>
      </c>
      <c r="G755" s="3">
        <v>137</v>
      </c>
      <c r="H755">
        <v>-1</v>
      </c>
      <c r="I755">
        <v>141</v>
      </c>
      <c r="J755">
        <v>141</v>
      </c>
      <c r="K755">
        <v>131</v>
      </c>
      <c r="L755">
        <v>1</v>
      </c>
      <c r="M755">
        <v>2019</v>
      </c>
      <c r="N755">
        <v>11</v>
      </c>
      <c r="O755">
        <v>4</v>
      </c>
      <c r="P755">
        <v>4</v>
      </c>
      <c r="Q755" s="2" t="s">
        <v>17</v>
      </c>
    </row>
    <row r="756" spans="1:17" x14ac:dyDescent="0.3">
      <c r="A756" s="1">
        <v>43780</v>
      </c>
      <c r="B756" s="3">
        <v>137</v>
      </c>
      <c r="C756" s="3">
        <v>138</v>
      </c>
      <c r="D756" s="3">
        <v>136</v>
      </c>
      <c r="E756" s="3">
        <v>138</v>
      </c>
      <c r="F756" s="4">
        <v>7037300</v>
      </c>
      <c r="G756" s="3">
        <v>137</v>
      </c>
      <c r="H756">
        <v>0</v>
      </c>
      <c r="I756">
        <v>140</v>
      </c>
      <c r="J756">
        <v>141</v>
      </c>
      <c r="K756">
        <v>131</v>
      </c>
      <c r="L756">
        <v>1</v>
      </c>
      <c r="M756">
        <v>2019</v>
      </c>
      <c r="N756">
        <v>11</v>
      </c>
      <c r="O756">
        <v>0</v>
      </c>
      <c r="P756">
        <v>4</v>
      </c>
      <c r="Q756" s="2" t="s">
        <v>17</v>
      </c>
    </row>
    <row r="757" spans="1:17" x14ac:dyDescent="0.3">
      <c r="A757" s="1">
        <v>43781</v>
      </c>
      <c r="B757" s="3">
        <v>137</v>
      </c>
      <c r="C757" s="3">
        <v>138</v>
      </c>
      <c r="D757" s="3">
        <v>136</v>
      </c>
      <c r="E757" s="3">
        <v>137</v>
      </c>
      <c r="F757" s="4">
        <v>6448600</v>
      </c>
      <c r="G757" s="3">
        <v>137</v>
      </c>
      <c r="H757">
        <v>0</v>
      </c>
      <c r="I757">
        <v>140</v>
      </c>
      <c r="J757">
        <v>141</v>
      </c>
      <c r="K757">
        <v>131</v>
      </c>
      <c r="L757">
        <v>1</v>
      </c>
      <c r="M757">
        <v>2019</v>
      </c>
      <c r="N757">
        <v>11</v>
      </c>
      <c r="O757">
        <v>1</v>
      </c>
      <c r="P757">
        <v>4</v>
      </c>
      <c r="Q757" s="2" t="s">
        <v>17</v>
      </c>
    </row>
    <row r="758" spans="1:17" x14ac:dyDescent="0.3">
      <c r="A758" s="1">
        <v>43782</v>
      </c>
      <c r="B758" s="3">
        <v>138</v>
      </c>
      <c r="C758" s="3">
        <v>138</v>
      </c>
      <c r="D758" s="3">
        <v>138</v>
      </c>
      <c r="E758" s="3">
        <v>138</v>
      </c>
      <c r="F758" s="4">
        <v>8776000</v>
      </c>
      <c r="G758" s="3">
        <v>138</v>
      </c>
      <c r="H758">
        <v>0</v>
      </c>
      <c r="I758">
        <v>140</v>
      </c>
      <c r="J758">
        <v>141</v>
      </c>
      <c r="K758">
        <v>131</v>
      </c>
      <c r="L758">
        <v>1</v>
      </c>
      <c r="M758">
        <v>2019</v>
      </c>
      <c r="N758">
        <v>11</v>
      </c>
      <c r="O758">
        <v>2</v>
      </c>
      <c r="P758">
        <v>4</v>
      </c>
      <c r="Q758" s="2" t="s">
        <v>17</v>
      </c>
    </row>
    <row r="759" spans="1:17" x14ac:dyDescent="0.3">
      <c r="A759" s="1">
        <v>43783</v>
      </c>
      <c r="B759" s="3">
        <v>139</v>
      </c>
      <c r="C759" s="3">
        <v>139</v>
      </c>
      <c r="D759" s="3">
        <v>138</v>
      </c>
      <c r="E759" s="3">
        <v>138</v>
      </c>
      <c r="F759" s="4">
        <v>5220500</v>
      </c>
      <c r="G759" s="3">
        <v>139</v>
      </c>
      <c r="H759">
        <v>0</v>
      </c>
      <c r="I759">
        <v>140</v>
      </c>
      <c r="J759">
        <v>141</v>
      </c>
      <c r="K759">
        <v>131</v>
      </c>
      <c r="L759">
        <v>1</v>
      </c>
      <c r="M759">
        <v>2019</v>
      </c>
      <c r="N759">
        <v>11</v>
      </c>
      <c r="O759">
        <v>3</v>
      </c>
      <c r="P759">
        <v>4</v>
      </c>
      <c r="Q759" s="2" t="s">
        <v>17</v>
      </c>
    </row>
    <row r="760" spans="1:17" x14ac:dyDescent="0.3">
      <c r="A760" s="1">
        <v>43784</v>
      </c>
      <c r="B760" s="3">
        <v>138</v>
      </c>
      <c r="C760" s="3">
        <v>138</v>
      </c>
      <c r="D760" s="3">
        <v>138</v>
      </c>
      <c r="E760" s="3">
        <v>138</v>
      </c>
      <c r="F760" s="4">
        <v>10106700</v>
      </c>
      <c r="G760" s="3">
        <v>138</v>
      </c>
      <c r="H760">
        <v>0</v>
      </c>
      <c r="I760">
        <v>140</v>
      </c>
      <c r="J760">
        <v>141</v>
      </c>
      <c r="K760">
        <v>131</v>
      </c>
      <c r="L760">
        <v>1</v>
      </c>
      <c r="M760">
        <v>2019</v>
      </c>
      <c r="N760">
        <v>11</v>
      </c>
      <c r="O760">
        <v>4</v>
      </c>
      <c r="P760">
        <v>4</v>
      </c>
      <c r="Q760" s="2" t="s">
        <v>17</v>
      </c>
    </row>
    <row r="761" spans="1:17" x14ac:dyDescent="0.3">
      <c r="A761" s="1">
        <v>43787</v>
      </c>
      <c r="B761" s="3">
        <v>139</v>
      </c>
      <c r="C761" s="3">
        <v>139</v>
      </c>
      <c r="D761" s="3">
        <v>138</v>
      </c>
      <c r="E761" s="3">
        <v>138</v>
      </c>
      <c r="F761" s="4">
        <v>5717900</v>
      </c>
      <c r="G761" s="3">
        <v>139</v>
      </c>
      <c r="H761">
        <v>0</v>
      </c>
      <c r="I761">
        <v>140</v>
      </c>
      <c r="J761">
        <v>141</v>
      </c>
      <c r="K761">
        <v>131</v>
      </c>
      <c r="L761">
        <v>1</v>
      </c>
      <c r="M761">
        <v>2019</v>
      </c>
      <c r="N761">
        <v>11</v>
      </c>
      <c r="O761">
        <v>0</v>
      </c>
      <c r="P761">
        <v>4</v>
      </c>
      <c r="Q761" s="2" t="s">
        <v>17</v>
      </c>
    </row>
    <row r="762" spans="1:17" x14ac:dyDescent="0.3">
      <c r="A762" s="1">
        <v>43788</v>
      </c>
      <c r="B762" s="3">
        <v>139</v>
      </c>
      <c r="C762" s="3">
        <v>139</v>
      </c>
      <c r="D762" s="3">
        <v>138</v>
      </c>
      <c r="E762" s="3">
        <v>138</v>
      </c>
      <c r="F762" s="4">
        <v>4824400</v>
      </c>
      <c r="G762" s="3">
        <v>139</v>
      </c>
      <c r="H762">
        <v>0</v>
      </c>
      <c r="I762">
        <v>140</v>
      </c>
      <c r="J762">
        <v>141</v>
      </c>
      <c r="K762">
        <v>132</v>
      </c>
      <c r="L762">
        <v>1</v>
      </c>
      <c r="M762">
        <v>2019</v>
      </c>
      <c r="N762">
        <v>11</v>
      </c>
      <c r="O762">
        <v>1</v>
      </c>
      <c r="P762">
        <v>4</v>
      </c>
      <c r="Q762" s="2" t="s">
        <v>17</v>
      </c>
    </row>
    <row r="763" spans="1:17" x14ac:dyDescent="0.3">
      <c r="A763" s="1">
        <v>43789</v>
      </c>
      <c r="B763" s="3">
        <v>139</v>
      </c>
      <c r="C763" s="3">
        <v>139</v>
      </c>
      <c r="D763" s="3">
        <v>138</v>
      </c>
      <c r="E763" s="3">
        <v>139</v>
      </c>
      <c r="F763" s="4">
        <v>6892100</v>
      </c>
      <c r="G763" s="3">
        <v>139</v>
      </c>
      <c r="H763">
        <v>0</v>
      </c>
      <c r="I763">
        <v>140</v>
      </c>
      <c r="J763">
        <v>141</v>
      </c>
      <c r="K763">
        <v>132</v>
      </c>
      <c r="L763">
        <v>1</v>
      </c>
      <c r="M763">
        <v>2019</v>
      </c>
      <c r="N763">
        <v>11</v>
      </c>
      <c r="O763">
        <v>2</v>
      </c>
      <c r="P763">
        <v>4</v>
      </c>
      <c r="Q763" s="2" t="s">
        <v>17</v>
      </c>
    </row>
    <row r="764" spans="1:17" x14ac:dyDescent="0.3">
      <c r="A764" s="1">
        <v>43790</v>
      </c>
      <c r="B764" s="3">
        <v>138</v>
      </c>
      <c r="C764" s="3">
        <v>139</v>
      </c>
      <c r="D764" s="3">
        <v>138</v>
      </c>
      <c r="E764" s="3">
        <v>138</v>
      </c>
      <c r="F764" s="4">
        <v>4197200</v>
      </c>
      <c r="G764" s="3">
        <v>138</v>
      </c>
      <c r="H764">
        <v>-1</v>
      </c>
      <c r="I764">
        <v>140</v>
      </c>
      <c r="J764">
        <v>140</v>
      </c>
      <c r="K764">
        <v>132</v>
      </c>
      <c r="L764">
        <v>1</v>
      </c>
      <c r="M764">
        <v>2019</v>
      </c>
      <c r="N764">
        <v>11</v>
      </c>
      <c r="O764">
        <v>3</v>
      </c>
      <c r="P764">
        <v>4</v>
      </c>
      <c r="Q764" s="2" t="s">
        <v>17</v>
      </c>
    </row>
    <row r="765" spans="1:17" x14ac:dyDescent="0.3">
      <c r="A765" s="1">
        <v>43791</v>
      </c>
      <c r="B765" s="3">
        <v>138</v>
      </c>
      <c r="C765" s="3">
        <v>138</v>
      </c>
      <c r="D765" s="3">
        <v>138</v>
      </c>
      <c r="E765" s="3">
        <v>138</v>
      </c>
      <c r="F765" s="4">
        <v>3620300</v>
      </c>
      <c r="G765" s="3">
        <v>138</v>
      </c>
      <c r="H765">
        <v>0</v>
      </c>
      <c r="I765">
        <v>139</v>
      </c>
      <c r="J765">
        <v>140</v>
      </c>
      <c r="K765">
        <v>132</v>
      </c>
      <c r="L765">
        <v>1</v>
      </c>
      <c r="M765">
        <v>2019</v>
      </c>
      <c r="N765">
        <v>11</v>
      </c>
      <c r="O765">
        <v>4</v>
      </c>
      <c r="P765">
        <v>4</v>
      </c>
      <c r="Q765" s="2" t="s">
        <v>17</v>
      </c>
    </row>
    <row r="766" spans="1:17" x14ac:dyDescent="0.3">
      <c r="A766" s="1">
        <v>43794</v>
      </c>
      <c r="B766" s="3">
        <v>137</v>
      </c>
      <c r="C766" s="3">
        <v>138</v>
      </c>
      <c r="D766" s="3">
        <v>137</v>
      </c>
      <c r="E766" s="3">
        <v>137</v>
      </c>
      <c r="F766" s="4">
        <v>6415800</v>
      </c>
      <c r="G766" s="3">
        <v>137</v>
      </c>
      <c r="H766">
        <v>0</v>
      </c>
      <c r="I766">
        <v>139</v>
      </c>
      <c r="J766">
        <v>140</v>
      </c>
      <c r="K766">
        <v>132</v>
      </c>
      <c r="L766">
        <v>1</v>
      </c>
      <c r="M766">
        <v>2019</v>
      </c>
      <c r="N766">
        <v>11</v>
      </c>
      <c r="O766">
        <v>0</v>
      </c>
      <c r="P766">
        <v>4</v>
      </c>
      <c r="Q766" s="2" t="s">
        <v>17</v>
      </c>
    </row>
    <row r="767" spans="1:17" x14ac:dyDescent="0.3">
      <c r="A767" s="1">
        <v>43795</v>
      </c>
      <c r="B767" s="3">
        <v>138</v>
      </c>
      <c r="C767" s="3">
        <v>138</v>
      </c>
      <c r="D767" s="3">
        <v>137</v>
      </c>
      <c r="E767" s="3">
        <v>137</v>
      </c>
      <c r="F767" s="4">
        <v>4724400</v>
      </c>
      <c r="G767" s="3">
        <v>138</v>
      </c>
      <c r="H767">
        <v>0</v>
      </c>
      <c r="I767">
        <v>139</v>
      </c>
      <c r="J767">
        <v>140</v>
      </c>
      <c r="K767">
        <v>132</v>
      </c>
      <c r="L767">
        <v>1</v>
      </c>
      <c r="M767">
        <v>2019</v>
      </c>
      <c r="N767">
        <v>11</v>
      </c>
      <c r="O767">
        <v>1</v>
      </c>
      <c r="P767">
        <v>4</v>
      </c>
      <c r="Q767" s="2" t="s">
        <v>17</v>
      </c>
    </row>
    <row r="768" spans="1:17" x14ac:dyDescent="0.3">
      <c r="A768" s="1">
        <v>43796</v>
      </c>
      <c r="B768" s="3">
        <v>137</v>
      </c>
      <c r="C768" s="3">
        <v>137</v>
      </c>
      <c r="D768" s="3">
        <v>137</v>
      </c>
      <c r="E768" s="3">
        <v>137</v>
      </c>
      <c r="F768" s="4">
        <v>4111000</v>
      </c>
      <c r="G768" s="3">
        <v>137</v>
      </c>
      <c r="H768">
        <v>-1</v>
      </c>
      <c r="I768">
        <v>139</v>
      </c>
      <c r="J768">
        <v>140</v>
      </c>
      <c r="K768">
        <v>132</v>
      </c>
      <c r="L768">
        <v>1</v>
      </c>
      <c r="M768">
        <v>2019</v>
      </c>
      <c r="N768">
        <v>11</v>
      </c>
      <c r="O768">
        <v>2</v>
      </c>
      <c r="P768">
        <v>4</v>
      </c>
      <c r="Q768" s="2" t="s">
        <v>17</v>
      </c>
    </row>
    <row r="769" spans="1:17" x14ac:dyDescent="0.3">
      <c r="A769" s="1">
        <v>43798</v>
      </c>
      <c r="B769" s="3">
        <v>138</v>
      </c>
      <c r="C769" s="3">
        <v>138</v>
      </c>
      <c r="D769" s="3">
        <v>137</v>
      </c>
      <c r="E769" s="3">
        <v>137</v>
      </c>
      <c r="F769" s="4">
        <v>4516400</v>
      </c>
      <c r="G769" s="3">
        <v>138</v>
      </c>
      <c r="H769">
        <v>1</v>
      </c>
      <c r="I769">
        <v>139</v>
      </c>
      <c r="J769">
        <v>140</v>
      </c>
      <c r="K769">
        <v>132</v>
      </c>
      <c r="L769">
        <v>1</v>
      </c>
      <c r="M769">
        <v>2019</v>
      </c>
      <c r="N769">
        <v>11</v>
      </c>
      <c r="O769">
        <v>4</v>
      </c>
      <c r="P769">
        <v>4</v>
      </c>
      <c r="Q769" s="2" t="s">
        <v>17</v>
      </c>
    </row>
    <row r="770" spans="1:17" x14ac:dyDescent="0.3">
      <c r="A770" s="1">
        <v>43801</v>
      </c>
      <c r="B770" s="3">
        <v>138</v>
      </c>
      <c r="C770" s="3">
        <v>138</v>
      </c>
      <c r="D770" s="3">
        <v>137</v>
      </c>
      <c r="E770" s="3">
        <v>137</v>
      </c>
      <c r="F770" s="4">
        <v>8274700</v>
      </c>
      <c r="G770" s="3">
        <v>138</v>
      </c>
      <c r="H770">
        <v>0</v>
      </c>
      <c r="I770">
        <v>138</v>
      </c>
      <c r="J770">
        <v>140</v>
      </c>
      <c r="K770">
        <v>132</v>
      </c>
      <c r="L770">
        <v>1</v>
      </c>
      <c r="M770">
        <v>2019</v>
      </c>
      <c r="N770">
        <v>12</v>
      </c>
      <c r="O770">
        <v>0</v>
      </c>
      <c r="P770">
        <v>4</v>
      </c>
      <c r="Q770" s="2" t="s">
        <v>17</v>
      </c>
    </row>
    <row r="771" spans="1:17" x14ac:dyDescent="0.3">
      <c r="A771" s="1">
        <v>43802</v>
      </c>
      <c r="B771" s="3">
        <v>139</v>
      </c>
      <c r="C771" s="3">
        <v>140</v>
      </c>
      <c r="D771" s="3">
        <v>139</v>
      </c>
      <c r="E771" s="3">
        <v>139</v>
      </c>
      <c r="F771" s="4">
        <v>8481700</v>
      </c>
      <c r="G771" s="3">
        <v>139</v>
      </c>
      <c r="H771">
        <v>1</v>
      </c>
      <c r="I771">
        <v>138</v>
      </c>
      <c r="J771">
        <v>140</v>
      </c>
      <c r="K771">
        <v>132</v>
      </c>
      <c r="L771">
        <v>1</v>
      </c>
      <c r="M771">
        <v>2019</v>
      </c>
      <c r="N771">
        <v>12</v>
      </c>
      <c r="O771">
        <v>1</v>
      </c>
      <c r="P771">
        <v>4</v>
      </c>
      <c r="Q771" s="2" t="s">
        <v>17</v>
      </c>
    </row>
    <row r="772" spans="1:17" x14ac:dyDescent="0.3">
      <c r="A772" s="1">
        <v>43803</v>
      </c>
      <c r="B772" s="3">
        <v>139</v>
      </c>
      <c r="C772" s="3">
        <v>139</v>
      </c>
      <c r="D772" s="3">
        <v>139</v>
      </c>
      <c r="E772" s="3">
        <v>139</v>
      </c>
      <c r="F772" s="4">
        <v>6322300</v>
      </c>
      <c r="G772" s="3">
        <v>139</v>
      </c>
      <c r="H772">
        <v>0</v>
      </c>
      <c r="I772">
        <v>138</v>
      </c>
      <c r="J772">
        <v>140</v>
      </c>
      <c r="K772">
        <v>132</v>
      </c>
      <c r="L772">
        <v>1</v>
      </c>
      <c r="M772">
        <v>2019</v>
      </c>
      <c r="N772">
        <v>12</v>
      </c>
      <c r="O772">
        <v>2</v>
      </c>
      <c r="P772">
        <v>4</v>
      </c>
      <c r="Q772" s="2" t="s">
        <v>17</v>
      </c>
    </row>
    <row r="773" spans="1:17" x14ac:dyDescent="0.3">
      <c r="A773" s="1">
        <v>43804</v>
      </c>
      <c r="B773" s="3">
        <v>139</v>
      </c>
      <c r="C773" s="3">
        <v>139</v>
      </c>
      <c r="D773" s="3">
        <v>139</v>
      </c>
      <c r="E773" s="3">
        <v>139</v>
      </c>
      <c r="F773" s="4">
        <v>5671500</v>
      </c>
      <c r="G773" s="3">
        <v>139</v>
      </c>
      <c r="H773">
        <v>0</v>
      </c>
      <c r="I773">
        <v>138</v>
      </c>
      <c r="J773">
        <v>140</v>
      </c>
      <c r="K773">
        <v>132</v>
      </c>
      <c r="L773">
        <v>1</v>
      </c>
      <c r="M773">
        <v>2019</v>
      </c>
      <c r="N773">
        <v>12</v>
      </c>
      <c r="O773">
        <v>3</v>
      </c>
      <c r="P773">
        <v>4</v>
      </c>
      <c r="Q773" s="2" t="s">
        <v>17</v>
      </c>
    </row>
    <row r="774" spans="1:17" x14ac:dyDescent="0.3">
      <c r="A774" s="1">
        <v>43805</v>
      </c>
      <c r="B774" s="3">
        <v>138</v>
      </c>
      <c r="C774" s="3">
        <v>138</v>
      </c>
      <c r="D774" s="3">
        <v>137</v>
      </c>
      <c r="E774" s="3">
        <v>138</v>
      </c>
      <c r="F774" s="4">
        <v>8714500</v>
      </c>
      <c r="G774" s="3">
        <v>138</v>
      </c>
      <c r="H774">
        <v>-1</v>
      </c>
      <c r="I774">
        <v>138</v>
      </c>
      <c r="J774">
        <v>140</v>
      </c>
      <c r="K774">
        <v>132</v>
      </c>
      <c r="L774">
        <v>0</v>
      </c>
      <c r="M774">
        <v>2019</v>
      </c>
      <c r="N774">
        <v>12</v>
      </c>
      <c r="O774">
        <v>4</v>
      </c>
      <c r="P774">
        <v>4</v>
      </c>
      <c r="Q774" s="2" t="s">
        <v>17</v>
      </c>
    </row>
    <row r="775" spans="1:17" x14ac:dyDescent="0.3">
      <c r="A775" s="1">
        <v>43808</v>
      </c>
      <c r="B775" s="3">
        <v>138</v>
      </c>
      <c r="C775" s="3">
        <v>138</v>
      </c>
      <c r="D775" s="3">
        <v>137</v>
      </c>
      <c r="E775" s="3">
        <v>138</v>
      </c>
      <c r="F775" s="4">
        <v>2711600</v>
      </c>
      <c r="G775" s="3">
        <v>138</v>
      </c>
      <c r="H775">
        <v>0</v>
      </c>
      <c r="I775">
        <v>138</v>
      </c>
      <c r="J775">
        <v>140</v>
      </c>
      <c r="K775">
        <v>132</v>
      </c>
      <c r="L775">
        <v>0</v>
      </c>
      <c r="M775">
        <v>2019</v>
      </c>
      <c r="N775">
        <v>12</v>
      </c>
      <c r="O775">
        <v>0</v>
      </c>
      <c r="P775">
        <v>4</v>
      </c>
      <c r="Q775" s="2" t="s">
        <v>17</v>
      </c>
    </row>
    <row r="776" spans="1:17" x14ac:dyDescent="0.3">
      <c r="A776" s="1">
        <v>43809</v>
      </c>
      <c r="B776" s="3">
        <v>138</v>
      </c>
      <c r="C776" s="3">
        <v>138</v>
      </c>
      <c r="D776" s="3">
        <v>138</v>
      </c>
      <c r="E776" s="3">
        <v>138</v>
      </c>
      <c r="F776" s="4">
        <v>3240800</v>
      </c>
      <c r="G776" s="3">
        <v>138</v>
      </c>
      <c r="H776">
        <v>0</v>
      </c>
      <c r="I776">
        <v>138</v>
      </c>
      <c r="J776">
        <v>140</v>
      </c>
      <c r="K776">
        <v>132</v>
      </c>
      <c r="L776">
        <v>0</v>
      </c>
      <c r="M776">
        <v>2019</v>
      </c>
      <c r="N776">
        <v>12</v>
      </c>
      <c r="O776">
        <v>1</v>
      </c>
      <c r="P776">
        <v>4</v>
      </c>
      <c r="Q776" s="2" t="s">
        <v>17</v>
      </c>
    </row>
    <row r="777" spans="1:17" x14ac:dyDescent="0.3">
      <c r="A777" s="1">
        <v>43810</v>
      </c>
      <c r="B777" s="3">
        <v>139</v>
      </c>
      <c r="C777" s="3">
        <v>139</v>
      </c>
      <c r="D777" s="3">
        <v>138</v>
      </c>
      <c r="E777" s="3">
        <v>138</v>
      </c>
      <c r="F777" s="4">
        <v>6097500</v>
      </c>
      <c r="G777" s="3">
        <v>139</v>
      </c>
      <c r="H777">
        <v>1</v>
      </c>
      <c r="I777">
        <v>138</v>
      </c>
      <c r="J777">
        <v>140</v>
      </c>
      <c r="K777">
        <v>133</v>
      </c>
      <c r="L777">
        <v>0</v>
      </c>
      <c r="M777">
        <v>2019</v>
      </c>
      <c r="N777">
        <v>12</v>
      </c>
      <c r="O777">
        <v>2</v>
      </c>
      <c r="P777">
        <v>4</v>
      </c>
      <c r="Q777" s="2" t="s">
        <v>17</v>
      </c>
    </row>
    <row r="778" spans="1:17" x14ac:dyDescent="0.3">
      <c r="A778" s="1">
        <v>43811</v>
      </c>
      <c r="B778" s="3">
        <v>138</v>
      </c>
      <c r="C778" s="3">
        <v>140</v>
      </c>
      <c r="D778" s="3">
        <v>138</v>
      </c>
      <c r="E778" s="3">
        <v>140</v>
      </c>
      <c r="F778" s="4">
        <v>8815100</v>
      </c>
      <c r="G778" s="3">
        <v>138</v>
      </c>
      <c r="H778">
        <v>0</v>
      </c>
      <c r="I778">
        <v>138</v>
      </c>
      <c r="J778">
        <v>140</v>
      </c>
      <c r="K778">
        <v>133</v>
      </c>
      <c r="L778">
        <v>0</v>
      </c>
      <c r="M778">
        <v>2019</v>
      </c>
      <c r="N778">
        <v>12</v>
      </c>
      <c r="O778">
        <v>3</v>
      </c>
      <c r="P778">
        <v>4</v>
      </c>
      <c r="Q778" s="2" t="s">
        <v>17</v>
      </c>
    </row>
    <row r="779" spans="1:17" x14ac:dyDescent="0.3">
      <c r="A779" s="1">
        <v>43812</v>
      </c>
      <c r="B779" s="3">
        <v>139</v>
      </c>
      <c r="C779" s="3">
        <v>139</v>
      </c>
      <c r="D779" s="3">
        <v>138</v>
      </c>
      <c r="E779" s="3">
        <v>139</v>
      </c>
      <c r="F779" s="4">
        <v>6964300</v>
      </c>
      <c r="G779" s="3">
        <v>139</v>
      </c>
      <c r="H779">
        <v>0</v>
      </c>
      <c r="I779">
        <v>138</v>
      </c>
      <c r="J779">
        <v>139</v>
      </c>
      <c r="K779">
        <v>133</v>
      </c>
      <c r="L779">
        <v>0</v>
      </c>
      <c r="M779">
        <v>2019</v>
      </c>
      <c r="N779">
        <v>12</v>
      </c>
      <c r="O779">
        <v>4</v>
      </c>
      <c r="P779">
        <v>4</v>
      </c>
      <c r="Q779" s="2" t="s">
        <v>17</v>
      </c>
    </row>
    <row r="780" spans="1:17" x14ac:dyDescent="0.3">
      <c r="A780" s="1">
        <v>43815</v>
      </c>
      <c r="B780" s="3">
        <v>139</v>
      </c>
      <c r="C780" s="3">
        <v>139</v>
      </c>
      <c r="D780" s="3">
        <v>139</v>
      </c>
      <c r="E780" s="3">
        <v>139</v>
      </c>
      <c r="F780" s="4">
        <v>4646100</v>
      </c>
      <c r="G780" s="3">
        <v>139</v>
      </c>
      <c r="H780">
        <v>0</v>
      </c>
      <c r="I780">
        <v>138</v>
      </c>
      <c r="J780">
        <v>139</v>
      </c>
      <c r="K780">
        <v>133</v>
      </c>
      <c r="L780">
        <v>0</v>
      </c>
      <c r="M780">
        <v>2019</v>
      </c>
      <c r="N780">
        <v>12</v>
      </c>
      <c r="O780">
        <v>0</v>
      </c>
      <c r="P780">
        <v>4</v>
      </c>
      <c r="Q780" s="2" t="s">
        <v>17</v>
      </c>
    </row>
    <row r="781" spans="1:17" x14ac:dyDescent="0.3">
      <c r="A781" s="1">
        <v>43816</v>
      </c>
      <c r="B781" s="3">
        <v>139</v>
      </c>
      <c r="C781" s="3">
        <v>139</v>
      </c>
      <c r="D781" s="3">
        <v>139</v>
      </c>
      <c r="E781" s="3">
        <v>139</v>
      </c>
      <c r="F781" s="4">
        <v>4287500</v>
      </c>
      <c r="G781" s="3">
        <v>139</v>
      </c>
      <c r="H781">
        <v>0</v>
      </c>
      <c r="I781">
        <v>138</v>
      </c>
      <c r="J781">
        <v>139</v>
      </c>
      <c r="K781">
        <v>133</v>
      </c>
      <c r="L781">
        <v>0</v>
      </c>
      <c r="M781">
        <v>2019</v>
      </c>
      <c r="N781">
        <v>12</v>
      </c>
      <c r="O781">
        <v>1</v>
      </c>
      <c r="P781">
        <v>4</v>
      </c>
      <c r="Q781" s="2" t="s">
        <v>17</v>
      </c>
    </row>
    <row r="782" spans="1:17" x14ac:dyDescent="0.3">
      <c r="A782" s="1">
        <v>43817</v>
      </c>
      <c r="B782" s="3">
        <v>139</v>
      </c>
      <c r="C782" s="3">
        <v>139</v>
      </c>
      <c r="D782" s="3">
        <v>139</v>
      </c>
      <c r="E782" s="3">
        <v>139</v>
      </c>
      <c r="F782" s="4">
        <v>3607600</v>
      </c>
      <c r="G782" s="3">
        <v>139</v>
      </c>
      <c r="H782">
        <v>0</v>
      </c>
      <c r="I782">
        <v>138</v>
      </c>
      <c r="J782">
        <v>139</v>
      </c>
      <c r="K782">
        <v>133</v>
      </c>
      <c r="L782">
        <v>0</v>
      </c>
      <c r="M782">
        <v>2019</v>
      </c>
      <c r="N782">
        <v>12</v>
      </c>
      <c r="O782">
        <v>2</v>
      </c>
      <c r="P782">
        <v>4</v>
      </c>
      <c r="Q782" s="2" t="s">
        <v>17</v>
      </c>
    </row>
    <row r="783" spans="1:17" x14ac:dyDescent="0.3">
      <c r="A783" s="1">
        <v>43818</v>
      </c>
      <c r="B783" s="3">
        <v>139</v>
      </c>
      <c r="C783" s="3">
        <v>140</v>
      </c>
      <c r="D783" s="3">
        <v>139</v>
      </c>
      <c r="E783" s="3">
        <v>139</v>
      </c>
      <c r="F783" s="4">
        <v>4975000</v>
      </c>
      <c r="G783" s="3">
        <v>139</v>
      </c>
      <c r="H783">
        <v>0</v>
      </c>
      <c r="I783">
        <v>138</v>
      </c>
      <c r="J783">
        <v>139</v>
      </c>
      <c r="K783">
        <v>133</v>
      </c>
      <c r="L783">
        <v>0</v>
      </c>
      <c r="M783">
        <v>2019</v>
      </c>
      <c r="N783">
        <v>12</v>
      </c>
      <c r="O783">
        <v>3</v>
      </c>
      <c r="P783">
        <v>4</v>
      </c>
      <c r="Q783" s="2" t="s">
        <v>17</v>
      </c>
    </row>
    <row r="784" spans="1:17" x14ac:dyDescent="0.3">
      <c r="A784" s="1">
        <v>43819</v>
      </c>
      <c r="B784" s="3">
        <v>140</v>
      </c>
      <c r="C784" s="3">
        <v>140</v>
      </c>
      <c r="D784" s="3">
        <v>139</v>
      </c>
      <c r="E784" s="3">
        <v>139</v>
      </c>
      <c r="F784" s="4">
        <v>4463900</v>
      </c>
      <c r="G784" s="3">
        <v>140</v>
      </c>
      <c r="H784">
        <v>0</v>
      </c>
      <c r="I784">
        <v>138</v>
      </c>
      <c r="J784">
        <v>139</v>
      </c>
      <c r="K784">
        <v>133</v>
      </c>
      <c r="L784">
        <v>0</v>
      </c>
      <c r="M784">
        <v>2019</v>
      </c>
      <c r="N784">
        <v>12</v>
      </c>
      <c r="O784">
        <v>4</v>
      </c>
      <c r="P784">
        <v>4</v>
      </c>
      <c r="Q784" s="2" t="s">
        <v>17</v>
      </c>
    </row>
    <row r="785" spans="1:17" x14ac:dyDescent="0.3">
      <c r="A785" s="1">
        <v>43822</v>
      </c>
      <c r="B785" s="3">
        <v>140</v>
      </c>
      <c r="C785" s="3">
        <v>140</v>
      </c>
      <c r="D785" s="3">
        <v>140</v>
      </c>
      <c r="E785" s="3">
        <v>140</v>
      </c>
      <c r="F785" s="4">
        <v>5180900</v>
      </c>
      <c r="G785" s="3">
        <v>140</v>
      </c>
      <c r="H785">
        <v>0</v>
      </c>
      <c r="I785">
        <v>138</v>
      </c>
      <c r="J785">
        <v>139</v>
      </c>
      <c r="K785">
        <v>133</v>
      </c>
      <c r="L785">
        <v>0</v>
      </c>
      <c r="M785">
        <v>2019</v>
      </c>
      <c r="N785">
        <v>12</v>
      </c>
      <c r="O785">
        <v>0</v>
      </c>
      <c r="P785">
        <v>4</v>
      </c>
      <c r="Q785" s="2" t="s">
        <v>17</v>
      </c>
    </row>
    <row r="786" spans="1:17" x14ac:dyDescent="0.3">
      <c r="A786" s="1">
        <v>43823</v>
      </c>
      <c r="B786" s="3">
        <v>141</v>
      </c>
      <c r="C786" s="3">
        <v>141</v>
      </c>
      <c r="D786" s="3">
        <v>140</v>
      </c>
      <c r="E786" s="3">
        <v>140</v>
      </c>
      <c r="F786" s="4">
        <v>5303700</v>
      </c>
      <c r="G786" s="3">
        <v>141</v>
      </c>
      <c r="H786">
        <v>1</v>
      </c>
      <c r="I786">
        <v>139</v>
      </c>
      <c r="J786">
        <v>139</v>
      </c>
      <c r="K786">
        <v>133</v>
      </c>
      <c r="L786">
        <v>0</v>
      </c>
      <c r="M786">
        <v>2019</v>
      </c>
      <c r="N786">
        <v>12</v>
      </c>
      <c r="O786">
        <v>1</v>
      </c>
      <c r="P786">
        <v>4</v>
      </c>
      <c r="Q786" s="2" t="s">
        <v>17</v>
      </c>
    </row>
    <row r="787" spans="1:17" x14ac:dyDescent="0.3">
      <c r="A787" s="1">
        <v>43825</v>
      </c>
      <c r="B787" s="3">
        <v>142</v>
      </c>
      <c r="C787" s="3">
        <v>142</v>
      </c>
      <c r="D787" s="3">
        <v>142</v>
      </c>
      <c r="E787" s="3">
        <v>142</v>
      </c>
      <c r="F787" s="4">
        <v>8342500</v>
      </c>
      <c r="G787" s="3">
        <v>142</v>
      </c>
      <c r="H787">
        <v>1</v>
      </c>
      <c r="I787">
        <v>139</v>
      </c>
      <c r="J787">
        <v>139</v>
      </c>
      <c r="K787">
        <v>133</v>
      </c>
      <c r="L787">
        <v>0</v>
      </c>
      <c r="M787">
        <v>2019</v>
      </c>
      <c r="N787">
        <v>12</v>
      </c>
      <c r="O787">
        <v>3</v>
      </c>
      <c r="P787">
        <v>4</v>
      </c>
      <c r="Q787" s="2" t="s">
        <v>17</v>
      </c>
    </row>
    <row r="788" spans="1:17" x14ac:dyDescent="0.3">
      <c r="A788" s="1">
        <v>43826</v>
      </c>
      <c r="B788" s="3">
        <v>142</v>
      </c>
      <c r="C788" s="3">
        <v>143</v>
      </c>
      <c r="D788" s="3">
        <v>142</v>
      </c>
      <c r="E788" s="3">
        <v>142</v>
      </c>
      <c r="F788" s="4">
        <v>5119900</v>
      </c>
      <c r="G788" s="3">
        <v>142</v>
      </c>
      <c r="H788">
        <v>0</v>
      </c>
      <c r="I788">
        <v>139</v>
      </c>
      <c r="J788">
        <v>139</v>
      </c>
      <c r="K788">
        <v>133</v>
      </c>
      <c r="L788">
        <v>0</v>
      </c>
      <c r="M788">
        <v>2019</v>
      </c>
      <c r="N788">
        <v>12</v>
      </c>
      <c r="O788">
        <v>4</v>
      </c>
      <c r="P788">
        <v>4</v>
      </c>
      <c r="Q788" s="2" t="s">
        <v>17</v>
      </c>
    </row>
    <row r="789" spans="1:17" x14ac:dyDescent="0.3">
      <c r="A789" s="1">
        <v>43829</v>
      </c>
      <c r="B789" s="3">
        <v>143</v>
      </c>
      <c r="C789" s="3">
        <v>143</v>
      </c>
      <c r="D789" s="3">
        <v>142</v>
      </c>
      <c r="E789" s="3">
        <v>143</v>
      </c>
      <c r="F789" s="4">
        <v>4810600</v>
      </c>
      <c r="G789" s="3">
        <v>143</v>
      </c>
      <c r="H789">
        <v>0</v>
      </c>
      <c r="I789">
        <v>139</v>
      </c>
      <c r="J789">
        <v>139</v>
      </c>
      <c r="K789">
        <v>134</v>
      </c>
      <c r="L789">
        <v>0</v>
      </c>
      <c r="M789">
        <v>2019</v>
      </c>
      <c r="N789">
        <v>12</v>
      </c>
      <c r="O789">
        <v>0</v>
      </c>
      <c r="P789">
        <v>4</v>
      </c>
      <c r="Q789" s="2" t="s">
        <v>17</v>
      </c>
    </row>
    <row r="790" spans="1:17" x14ac:dyDescent="0.3">
      <c r="A790" s="1">
        <v>43830</v>
      </c>
      <c r="B790" s="3">
        <v>143</v>
      </c>
      <c r="C790" s="3">
        <v>144</v>
      </c>
      <c r="D790" s="3">
        <v>143</v>
      </c>
      <c r="E790" s="3">
        <v>143</v>
      </c>
      <c r="F790" s="4">
        <v>5313500</v>
      </c>
      <c r="G790" s="3">
        <v>143</v>
      </c>
      <c r="H790">
        <v>0</v>
      </c>
      <c r="I790">
        <v>140</v>
      </c>
      <c r="J790">
        <v>139</v>
      </c>
      <c r="K790">
        <v>134</v>
      </c>
      <c r="L790">
        <v>0</v>
      </c>
      <c r="M790">
        <v>2019</v>
      </c>
      <c r="N790">
        <v>12</v>
      </c>
      <c r="O790">
        <v>1</v>
      </c>
      <c r="P790">
        <v>4</v>
      </c>
      <c r="Q790" s="2" t="s">
        <v>17</v>
      </c>
    </row>
    <row r="791" spans="1:17" x14ac:dyDescent="0.3">
      <c r="A791" s="1">
        <v>43832</v>
      </c>
      <c r="B791" s="3">
        <v>144</v>
      </c>
      <c r="C791" s="3">
        <v>144</v>
      </c>
      <c r="D791" s="3">
        <v>143</v>
      </c>
      <c r="E791" s="3">
        <v>144</v>
      </c>
      <c r="F791" s="4">
        <v>7733800</v>
      </c>
      <c r="G791" s="3">
        <v>144</v>
      </c>
      <c r="H791">
        <v>1</v>
      </c>
      <c r="I791">
        <v>140</v>
      </c>
      <c r="J791">
        <v>140</v>
      </c>
      <c r="K791">
        <v>134</v>
      </c>
      <c r="L791">
        <v>0</v>
      </c>
      <c r="M791">
        <v>2020</v>
      </c>
      <c r="N791">
        <v>1</v>
      </c>
      <c r="O791">
        <v>3</v>
      </c>
      <c r="P791">
        <v>1</v>
      </c>
      <c r="Q791" s="2" t="s">
        <v>17</v>
      </c>
    </row>
    <row r="792" spans="1:17" x14ac:dyDescent="0.3">
      <c r="A792" s="1">
        <v>43833</v>
      </c>
      <c r="B792" s="3">
        <v>146</v>
      </c>
      <c r="C792" s="3">
        <v>146</v>
      </c>
      <c r="D792" s="3">
        <v>145</v>
      </c>
      <c r="E792" s="3">
        <v>146</v>
      </c>
      <c r="F792" s="4">
        <v>12272800</v>
      </c>
      <c r="G792" s="3">
        <v>146</v>
      </c>
      <c r="H792">
        <v>1</v>
      </c>
      <c r="I792">
        <v>140</v>
      </c>
      <c r="J792">
        <v>140</v>
      </c>
      <c r="K792">
        <v>134</v>
      </c>
      <c r="L792">
        <v>0</v>
      </c>
      <c r="M792">
        <v>2020</v>
      </c>
      <c r="N792">
        <v>1</v>
      </c>
      <c r="O792">
        <v>4</v>
      </c>
      <c r="P792">
        <v>1</v>
      </c>
      <c r="Q792" s="2" t="s">
        <v>17</v>
      </c>
    </row>
    <row r="793" spans="1:17" x14ac:dyDescent="0.3">
      <c r="A793" s="1">
        <v>43836</v>
      </c>
      <c r="B793" s="3">
        <v>147</v>
      </c>
      <c r="C793" s="3">
        <v>148</v>
      </c>
      <c r="D793" s="3">
        <v>147</v>
      </c>
      <c r="E793" s="3">
        <v>148</v>
      </c>
      <c r="F793" s="4">
        <v>14403300</v>
      </c>
      <c r="G793" s="3">
        <v>147</v>
      </c>
      <c r="H793">
        <v>1</v>
      </c>
      <c r="I793">
        <v>141</v>
      </c>
      <c r="J793">
        <v>140</v>
      </c>
      <c r="K793">
        <v>134</v>
      </c>
      <c r="L793">
        <v>1</v>
      </c>
      <c r="M793">
        <v>2020</v>
      </c>
      <c r="N793">
        <v>1</v>
      </c>
      <c r="O793">
        <v>0</v>
      </c>
      <c r="P793">
        <v>1</v>
      </c>
      <c r="Q793" s="2" t="s">
        <v>17</v>
      </c>
    </row>
    <row r="794" spans="1:17" x14ac:dyDescent="0.3">
      <c r="A794" s="1">
        <v>43837</v>
      </c>
      <c r="B794" s="3">
        <v>148</v>
      </c>
      <c r="C794" s="3">
        <v>148</v>
      </c>
      <c r="D794" s="3">
        <v>147</v>
      </c>
      <c r="E794" s="3">
        <v>148</v>
      </c>
      <c r="F794" s="4">
        <v>7978500</v>
      </c>
      <c r="G794" s="3">
        <v>148</v>
      </c>
      <c r="H794">
        <v>0</v>
      </c>
      <c r="I794">
        <v>141</v>
      </c>
      <c r="J794">
        <v>140</v>
      </c>
      <c r="K794">
        <v>134</v>
      </c>
      <c r="L794">
        <v>0</v>
      </c>
      <c r="M794">
        <v>2020</v>
      </c>
      <c r="N794">
        <v>1</v>
      </c>
      <c r="O794">
        <v>1</v>
      </c>
      <c r="P794">
        <v>1</v>
      </c>
      <c r="Q794" s="2" t="s">
        <v>17</v>
      </c>
    </row>
    <row r="795" spans="1:17" x14ac:dyDescent="0.3">
      <c r="A795" s="1">
        <v>43838</v>
      </c>
      <c r="B795" s="3">
        <v>147</v>
      </c>
      <c r="C795" s="3">
        <v>149</v>
      </c>
      <c r="D795" s="3">
        <v>146</v>
      </c>
      <c r="E795" s="3">
        <v>148</v>
      </c>
      <c r="F795" s="4">
        <v>22248500</v>
      </c>
      <c r="G795" s="3">
        <v>147</v>
      </c>
      <c r="H795">
        <v>-1</v>
      </c>
      <c r="I795">
        <v>142</v>
      </c>
      <c r="J795">
        <v>140</v>
      </c>
      <c r="K795">
        <v>134</v>
      </c>
      <c r="L795">
        <v>0</v>
      </c>
      <c r="M795">
        <v>2020</v>
      </c>
      <c r="N795">
        <v>1</v>
      </c>
      <c r="O795">
        <v>2</v>
      </c>
      <c r="P795">
        <v>1</v>
      </c>
      <c r="Q795" s="2" t="s">
        <v>17</v>
      </c>
    </row>
    <row r="796" spans="1:17" x14ac:dyDescent="0.3">
      <c r="A796" s="1">
        <v>43839</v>
      </c>
      <c r="B796" s="3">
        <v>146</v>
      </c>
      <c r="C796" s="3">
        <v>146</v>
      </c>
      <c r="D796" s="3">
        <v>145</v>
      </c>
      <c r="E796" s="3">
        <v>146</v>
      </c>
      <c r="F796" s="4">
        <v>10292300</v>
      </c>
      <c r="G796" s="3">
        <v>146</v>
      </c>
      <c r="H796">
        <v>-1</v>
      </c>
      <c r="I796">
        <v>142</v>
      </c>
      <c r="J796">
        <v>140</v>
      </c>
      <c r="K796">
        <v>134</v>
      </c>
      <c r="L796">
        <v>1</v>
      </c>
      <c r="M796">
        <v>2020</v>
      </c>
      <c r="N796">
        <v>1</v>
      </c>
      <c r="O796">
        <v>3</v>
      </c>
      <c r="P796">
        <v>1</v>
      </c>
      <c r="Q796" s="2" t="s">
        <v>17</v>
      </c>
    </row>
    <row r="797" spans="1:17" x14ac:dyDescent="0.3">
      <c r="A797" s="1">
        <v>43840</v>
      </c>
      <c r="B797" s="3">
        <v>147</v>
      </c>
      <c r="C797" s="3">
        <v>147</v>
      </c>
      <c r="D797" s="3">
        <v>146</v>
      </c>
      <c r="E797" s="3">
        <v>146</v>
      </c>
      <c r="F797" s="4">
        <v>6183300</v>
      </c>
      <c r="G797" s="3">
        <v>147</v>
      </c>
      <c r="H797">
        <v>1</v>
      </c>
      <c r="I797">
        <v>142</v>
      </c>
      <c r="J797">
        <v>140</v>
      </c>
      <c r="K797">
        <v>134</v>
      </c>
      <c r="L797">
        <v>1</v>
      </c>
      <c r="M797">
        <v>2020</v>
      </c>
      <c r="N797">
        <v>1</v>
      </c>
      <c r="O797">
        <v>4</v>
      </c>
      <c r="P797">
        <v>1</v>
      </c>
      <c r="Q797" s="2" t="s">
        <v>17</v>
      </c>
    </row>
    <row r="798" spans="1:17" x14ac:dyDescent="0.3">
      <c r="A798" s="1">
        <v>43843</v>
      </c>
      <c r="B798" s="3">
        <v>146</v>
      </c>
      <c r="C798" s="3">
        <v>146</v>
      </c>
      <c r="D798" s="3">
        <v>146</v>
      </c>
      <c r="E798" s="3">
        <v>146</v>
      </c>
      <c r="F798" s="4">
        <v>7593800</v>
      </c>
      <c r="G798" s="3">
        <v>146</v>
      </c>
      <c r="H798">
        <v>-1</v>
      </c>
      <c r="I798">
        <v>143</v>
      </c>
      <c r="J798">
        <v>140</v>
      </c>
      <c r="K798">
        <v>135</v>
      </c>
      <c r="L798">
        <v>1</v>
      </c>
      <c r="M798">
        <v>2020</v>
      </c>
      <c r="N798">
        <v>1</v>
      </c>
      <c r="O798">
        <v>0</v>
      </c>
      <c r="P798">
        <v>1</v>
      </c>
      <c r="Q798" s="2" t="s">
        <v>17</v>
      </c>
    </row>
    <row r="799" spans="1:17" x14ac:dyDescent="0.3">
      <c r="A799" s="1">
        <v>43844</v>
      </c>
      <c r="B799" s="3">
        <v>146</v>
      </c>
      <c r="C799" s="3">
        <v>146</v>
      </c>
      <c r="D799" s="3">
        <v>145</v>
      </c>
      <c r="E799" s="3">
        <v>145</v>
      </c>
      <c r="F799" s="4">
        <v>6589700</v>
      </c>
      <c r="G799" s="3">
        <v>146</v>
      </c>
      <c r="H799">
        <v>0</v>
      </c>
      <c r="I799">
        <v>143</v>
      </c>
      <c r="J799">
        <v>140</v>
      </c>
      <c r="K799">
        <v>135</v>
      </c>
      <c r="L799">
        <v>1</v>
      </c>
      <c r="M799">
        <v>2020</v>
      </c>
      <c r="N799">
        <v>1</v>
      </c>
      <c r="O799">
        <v>1</v>
      </c>
      <c r="P799">
        <v>1</v>
      </c>
      <c r="Q799" s="2" t="s">
        <v>17</v>
      </c>
    </row>
    <row r="800" spans="1:17" x14ac:dyDescent="0.3">
      <c r="A800" s="1">
        <v>43845</v>
      </c>
      <c r="B800" s="3">
        <v>147</v>
      </c>
      <c r="C800" s="3">
        <v>147</v>
      </c>
      <c r="D800" s="3">
        <v>146</v>
      </c>
      <c r="E800" s="3">
        <v>146</v>
      </c>
      <c r="F800" s="4">
        <v>6510000</v>
      </c>
      <c r="G800" s="3">
        <v>147</v>
      </c>
      <c r="H800">
        <v>1</v>
      </c>
      <c r="I800">
        <v>144</v>
      </c>
      <c r="J800">
        <v>140</v>
      </c>
      <c r="K800">
        <v>135</v>
      </c>
      <c r="L800">
        <v>1</v>
      </c>
      <c r="M800">
        <v>2020</v>
      </c>
      <c r="N800">
        <v>1</v>
      </c>
      <c r="O800">
        <v>2</v>
      </c>
      <c r="P800">
        <v>1</v>
      </c>
      <c r="Q800" s="2" t="s">
        <v>17</v>
      </c>
    </row>
    <row r="801" spans="1:17" x14ac:dyDescent="0.3">
      <c r="A801" s="1">
        <v>43846</v>
      </c>
      <c r="B801" s="3">
        <v>146</v>
      </c>
      <c r="C801" s="3">
        <v>146</v>
      </c>
      <c r="D801" s="3">
        <v>146</v>
      </c>
      <c r="E801" s="3">
        <v>146</v>
      </c>
      <c r="F801" s="4">
        <v>6069100</v>
      </c>
      <c r="G801" s="3">
        <v>146</v>
      </c>
      <c r="H801">
        <v>0</v>
      </c>
      <c r="I801">
        <v>144</v>
      </c>
      <c r="J801">
        <v>141</v>
      </c>
      <c r="K801">
        <v>135</v>
      </c>
      <c r="L801">
        <v>1</v>
      </c>
      <c r="M801">
        <v>2020</v>
      </c>
      <c r="N801">
        <v>1</v>
      </c>
      <c r="O801">
        <v>3</v>
      </c>
      <c r="P801">
        <v>1</v>
      </c>
      <c r="Q801" s="2" t="s">
        <v>17</v>
      </c>
    </row>
    <row r="802" spans="1:17" x14ac:dyDescent="0.3">
      <c r="A802" s="1">
        <v>43847</v>
      </c>
      <c r="B802" s="3">
        <v>147</v>
      </c>
      <c r="C802" s="3">
        <v>147</v>
      </c>
      <c r="D802" s="3">
        <v>146</v>
      </c>
      <c r="E802" s="3">
        <v>147</v>
      </c>
      <c r="F802" s="4">
        <v>11121100</v>
      </c>
      <c r="G802" s="3">
        <v>147</v>
      </c>
      <c r="H802">
        <v>0</v>
      </c>
      <c r="I802">
        <v>144</v>
      </c>
      <c r="J802">
        <v>141</v>
      </c>
      <c r="K802">
        <v>135</v>
      </c>
      <c r="L802">
        <v>1</v>
      </c>
      <c r="M802">
        <v>2020</v>
      </c>
      <c r="N802">
        <v>1</v>
      </c>
      <c r="O802">
        <v>4</v>
      </c>
      <c r="P802">
        <v>1</v>
      </c>
      <c r="Q802" s="2" t="s">
        <v>17</v>
      </c>
    </row>
    <row r="803" spans="1:17" x14ac:dyDescent="0.3">
      <c r="A803" s="1">
        <v>43851</v>
      </c>
      <c r="B803" s="3">
        <v>147</v>
      </c>
      <c r="C803" s="3">
        <v>147</v>
      </c>
      <c r="D803" s="3">
        <v>146</v>
      </c>
      <c r="E803" s="3">
        <v>146</v>
      </c>
      <c r="F803" s="4">
        <v>6086100</v>
      </c>
      <c r="G803" s="3">
        <v>147</v>
      </c>
      <c r="H803">
        <v>0</v>
      </c>
      <c r="I803">
        <v>145</v>
      </c>
      <c r="J803">
        <v>141</v>
      </c>
      <c r="K803">
        <v>135</v>
      </c>
      <c r="L803">
        <v>1</v>
      </c>
      <c r="M803">
        <v>2020</v>
      </c>
      <c r="N803">
        <v>1</v>
      </c>
      <c r="O803">
        <v>1</v>
      </c>
      <c r="P803">
        <v>1</v>
      </c>
      <c r="Q803" s="2" t="s">
        <v>17</v>
      </c>
    </row>
    <row r="804" spans="1:17" x14ac:dyDescent="0.3">
      <c r="A804" s="1">
        <v>43852</v>
      </c>
      <c r="B804" s="3">
        <v>147</v>
      </c>
      <c r="C804" s="3">
        <v>147</v>
      </c>
      <c r="D804" s="3">
        <v>146</v>
      </c>
      <c r="E804" s="3">
        <v>147</v>
      </c>
      <c r="F804" s="4">
        <v>4778200</v>
      </c>
      <c r="G804" s="3">
        <v>147</v>
      </c>
      <c r="H804">
        <v>0</v>
      </c>
      <c r="I804">
        <v>145</v>
      </c>
      <c r="J804">
        <v>141</v>
      </c>
      <c r="K804">
        <v>135</v>
      </c>
      <c r="L804">
        <v>1</v>
      </c>
      <c r="M804">
        <v>2020</v>
      </c>
      <c r="N804">
        <v>1</v>
      </c>
      <c r="O804">
        <v>2</v>
      </c>
      <c r="P804">
        <v>1</v>
      </c>
      <c r="Q804" s="2" t="s">
        <v>17</v>
      </c>
    </row>
    <row r="805" spans="1:17" x14ac:dyDescent="0.3">
      <c r="A805" s="1">
        <v>43853</v>
      </c>
      <c r="B805" s="3">
        <v>147</v>
      </c>
      <c r="C805" s="3">
        <v>148</v>
      </c>
      <c r="D805" s="3">
        <v>147</v>
      </c>
      <c r="E805" s="3">
        <v>147</v>
      </c>
      <c r="F805" s="4">
        <v>8419800</v>
      </c>
      <c r="G805" s="3">
        <v>147</v>
      </c>
      <c r="H805">
        <v>0</v>
      </c>
      <c r="I805">
        <v>145</v>
      </c>
      <c r="J805">
        <v>141</v>
      </c>
      <c r="K805">
        <v>135</v>
      </c>
      <c r="L805">
        <v>1</v>
      </c>
      <c r="M805">
        <v>2020</v>
      </c>
      <c r="N805">
        <v>1</v>
      </c>
      <c r="O805">
        <v>3</v>
      </c>
      <c r="P805">
        <v>1</v>
      </c>
      <c r="Q805" s="2" t="s">
        <v>17</v>
      </c>
    </row>
    <row r="806" spans="1:17" x14ac:dyDescent="0.3">
      <c r="A806" s="1">
        <v>43854</v>
      </c>
      <c r="B806" s="3">
        <v>148</v>
      </c>
      <c r="C806" s="3">
        <v>148</v>
      </c>
      <c r="D806" s="3">
        <v>147</v>
      </c>
      <c r="E806" s="3">
        <v>147</v>
      </c>
      <c r="F806" s="4">
        <v>9919900</v>
      </c>
      <c r="G806" s="3">
        <v>148</v>
      </c>
      <c r="H806">
        <v>1</v>
      </c>
      <c r="I806">
        <v>146</v>
      </c>
      <c r="J806">
        <v>141</v>
      </c>
      <c r="K806">
        <v>136</v>
      </c>
      <c r="L806">
        <v>1</v>
      </c>
      <c r="M806">
        <v>2020</v>
      </c>
      <c r="N806">
        <v>1</v>
      </c>
      <c r="O806">
        <v>4</v>
      </c>
      <c r="P806">
        <v>1</v>
      </c>
      <c r="Q806" s="2" t="s">
        <v>17</v>
      </c>
    </row>
    <row r="807" spans="1:17" x14ac:dyDescent="0.3">
      <c r="A807" s="1">
        <v>43857</v>
      </c>
      <c r="B807" s="3">
        <v>149</v>
      </c>
      <c r="C807" s="3">
        <v>149</v>
      </c>
      <c r="D807" s="3">
        <v>148</v>
      </c>
      <c r="E807" s="3">
        <v>149</v>
      </c>
      <c r="F807" s="4">
        <v>9988100</v>
      </c>
      <c r="G807" s="3">
        <v>149</v>
      </c>
      <c r="H807">
        <v>1</v>
      </c>
      <c r="I807">
        <v>146</v>
      </c>
      <c r="J807">
        <v>142</v>
      </c>
      <c r="K807">
        <v>136</v>
      </c>
      <c r="L807">
        <v>1</v>
      </c>
      <c r="M807">
        <v>2020</v>
      </c>
      <c r="N807">
        <v>1</v>
      </c>
      <c r="O807">
        <v>0</v>
      </c>
      <c r="P807">
        <v>1</v>
      </c>
      <c r="Q807" s="2" t="s">
        <v>17</v>
      </c>
    </row>
    <row r="808" spans="1:17" x14ac:dyDescent="0.3">
      <c r="A808" s="1">
        <v>43858</v>
      </c>
      <c r="B808" s="3">
        <v>148</v>
      </c>
      <c r="C808" s="3">
        <v>149</v>
      </c>
      <c r="D808" s="3">
        <v>148</v>
      </c>
      <c r="E808" s="3">
        <v>148</v>
      </c>
      <c r="F808" s="4">
        <v>7543100</v>
      </c>
      <c r="G808" s="3">
        <v>148</v>
      </c>
      <c r="H808">
        <v>-1</v>
      </c>
      <c r="I808">
        <v>146</v>
      </c>
      <c r="J808">
        <v>142</v>
      </c>
      <c r="K808">
        <v>136</v>
      </c>
      <c r="L808">
        <v>1</v>
      </c>
      <c r="M808">
        <v>2020</v>
      </c>
      <c r="N808">
        <v>1</v>
      </c>
      <c r="O808">
        <v>1</v>
      </c>
      <c r="P808">
        <v>1</v>
      </c>
      <c r="Q808" s="2" t="s">
        <v>17</v>
      </c>
    </row>
    <row r="809" spans="1:17" x14ac:dyDescent="0.3">
      <c r="A809" s="1">
        <v>43859</v>
      </c>
      <c r="B809" s="3">
        <v>148</v>
      </c>
      <c r="C809" s="3">
        <v>149</v>
      </c>
      <c r="D809" s="3">
        <v>148</v>
      </c>
      <c r="E809" s="3">
        <v>148</v>
      </c>
      <c r="F809" s="4">
        <v>5013100</v>
      </c>
      <c r="G809" s="3">
        <v>148</v>
      </c>
      <c r="H809">
        <v>1</v>
      </c>
      <c r="I809">
        <v>147</v>
      </c>
      <c r="J809">
        <v>142</v>
      </c>
      <c r="K809">
        <v>136</v>
      </c>
      <c r="L809">
        <v>1</v>
      </c>
      <c r="M809">
        <v>2020</v>
      </c>
      <c r="N809">
        <v>1</v>
      </c>
      <c r="O809">
        <v>2</v>
      </c>
      <c r="P809">
        <v>1</v>
      </c>
      <c r="Q809" s="2" t="s">
        <v>17</v>
      </c>
    </row>
    <row r="810" spans="1:17" x14ac:dyDescent="0.3">
      <c r="A810" s="1">
        <v>43860</v>
      </c>
      <c r="B810" s="3">
        <v>148</v>
      </c>
      <c r="C810" s="3">
        <v>149</v>
      </c>
      <c r="D810" s="3">
        <v>148</v>
      </c>
      <c r="E810" s="3">
        <v>149</v>
      </c>
      <c r="F810" s="4">
        <v>9119500</v>
      </c>
      <c r="G810" s="3">
        <v>148</v>
      </c>
      <c r="H810">
        <v>0</v>
      </c>
      <c r="I810">
        <v>147</v>
      </c>
      <c r="J810">
        <v>142</v>
      </c>
      <c r="K810">
        <v>136</v>
      </c>
      <c r="L810">
        <v>1</v>
      </c>
      <c r="M810">
        <v>2020</v>
      </c>
      <c r="N810">
        <v>1</v>
      </c>
      <c r="O810">
        <v>3</v>
      </c>
      <c r="P810">
        <v>1</v>
      </c>
      <c r="Q810" s="2" t="s">
        <v>17</v>
      </c>
    </row>
    <row r="811" spans="1:17" x14ac:dyDescent="0.3">
      <c r="A811" s="1">
        <v>43861</v>
      </c>
      <c r="B811" s="3">
        <v>149</v>
      </c>
      <c r="C811" s="3">
        <v>150</v>
      </c>
      <c r="D811" s="3">
        <v>149</v>
      </c>
      <c r="E811" s="3">
        <v>149</v>
      </c>
      <c r="F811" s="4">
        <v>14788300</v>
      </c>
      <c r="G811" s="3">
        <v>149</v>
      </c>
      <c r="H811">
        <v>1</v>
      </c>
      <c r="I811">
        <v>147</v>
      </c>
      <c r="J811">
        <v>142</v>
      </c>
      <c r="K811">
        <v>136</v>
      </c>
      <c r="L811">
        <v>1</v>
      </c>
      <c r="M811">
        <v>2020</v>
      </c>
      <c r="N811">
        <v>1</v>
      </c>
      <c r="O811">
        <v>4</v>
      </c>
      <c r="P811">
        <v>1</v>
      </c>
      <c r="Q811" s="2" t="s">
        <v>17</v>
      </c>
    </row>
    <row r="812" spans="1:17" x14ac:dyDescent="0.3">
      <c r="A812" s="1">
        <v>43864</v>
      </c>
      <c r="B812" s="3">
        <v>148</v>
      </c>
      <c r="C812" s="3">
        <v>149</v>
      </c>
      <c r="D812" s="3">
        <v>148</v>
      </c>
      <c r="E812" s="3">
        <v>149</v>
      </c>
      <c r="F812" s="4">
        <v>9105300</v>
      </c>
      <c r="G812" s="3">
        <v>148</v>
      </c>
      <c r="H812">
        <v>-1</v>
      </c>
      <c r="I812">
        <v>147</v>
      </c>
      <c r="J812">
        <v>143</v>
      </c>
      <c r="K812">
        <v>136</v>
      </c>
      <c r="L812">
        <v>1</v>
      </c>
      <c r="M812">
        <v>2020</v>
      </c>
      <c r="N812">
        <v>2</v>
      </c>
      <c r="O812">
        <v>0</v>
      </c>
      <c r="P812">
        <v>1</v>
      </c>
      <c r="Q812" s="2" t="s">
        <v>17</v>
      </c>
    </row>
    <row r="813" spans="1:17" x14ac:dyDescent="0.3">
      <c r="A813" s="1">
        <v>43865</v>
      </c>
      <c r="B813" s="3">
        <v>146</v>
      </c>
      <c r="C813" s="3">
        <v>147</v>
      </c>
      <c r="D813" s="3">
        <v>146</v>
      </c>
      <c r="E813" s="3">
        <v>147</v>
      </c>
      <c r="F813" s="4">
        <v>10525600</v>
      </c>
      <c r="G813" s="3">
        <v>146</v>
      </c>
      <c r="H813">
        <v>-1</v>
      </c>
      <c r="I813">
        <v>147</v>
      </c>
      <c r="J813">
        <v>143</v>
      </c>
      <c r="K813">
        <v>137</v>
      </c>
      <c r="L813">
        <v>1</v>
      </c>
      <c r="M813">
        <v>2020</v>
      </c>
      <c r="N813">
        <v>2</v>
      </c>
      <c r="O813">
        <v>1</v>
      </c>
      <c r="P813">
        <v>1</v>
      </c>
      <c r="Q813" s="2" t="s">
        <v>17</v>
      </c>
    </row>
    <row r="814" spans="1:17" x14ac:dyDescent="0.3">
      <c r="A814" s="1">
        <v>43866</v>
      </c>
      <c r="B814" s="3">
        <v>147</v>
      </c>
      <c r="C814" s="3">
        <v>147</v>
      </c>
      <c r="D814" s="3">
        <v>146</v>
      </c>
      <c r="E814" s="3">
        <v>146</v>
      </c>
      <c r="F814" s="4">
        <v>6160700</v>
      </c>
      <c r="G814" s="3">
        <v>147</v>
      </c>
      <c r="H814">
        <v>0</v>
      </c>
      <c r="I814">
        <v>147</v>
      </c>
      <c r="J814">
        <v>143</v>
      </c>
      <c r="K814">
        <v>137</v>
      </c>
      <c r="L814">
        <v>1</v>
      </c>
      <c r="M814">
        <v>2020</v>
      </c>
      <c r="N814">
        <v>2</v>
      </c>
      <c r="O814">
        <v>2</v>
      </c>
      <c r="P814">
        <v>1</v>
      </c>
      <c r="Q814" s="2" t="s">
        <v>17</v>
      </c>
    </row>
    <row r="815" spans="1:17" x14ac:dyDescent="0.3">
      <c r="A815" s="1">
        <v>43867</v>
      </c>
      <c r="B815" s="3">
        <v>147</v>
      </c>
      <c r="C815" s="3">
        <v>148</v>
      </c>
      <c r="D815" s="3">
        <v>147</v>
      </c>
      <c r="E815" s="3">
        <v>147</v>
      </c>
      <c r="F815" s="4">
        <v>4819800</v>
      </c>
      <c r="G815" s="3">
        <v>147</v>
      </c>
      <c r="H815">
        <v>1</v>
      </c>
      <c r="I815">
        <v>147</v>
      </c>
      <c r="J815">
        <v>143</v>
      </c>
      <c r="K815">
        <v>137</v>
      </c>
      <c r="L815">
        <v>1</v>
      </c>
      <c r="M815">
        <v>2020</v>
      </c>
      <c r="N815">
        <v>2</v>
      </c>
      <c r="O815">
        <v>3</v>
      </c>
      <c r="P815">
        <v>1</v>
      </c>
      <c r="Q815" s="2" t="s">
        <v>17</v>
      </c>
    </row>
    <row r="816" spans="1:17" x14ac:dyDescent="0.3">
      <c r="A816" s="1">
        <v>43868</v>
      </c>
      <c r="B816" s="3">
        <v>148</v>
      </c>
      <c r="C816" s="3">
        <v>148</v>
      </c>
      <c r="D816" s="3">
        <v>147</v>
      </c>
      <c r="E816" s="3">
        <v>148</v>
      </c>
      <c r="F816" s="4">
        <v>6379300</v>
      </c>
      <c r="G816" s="3">
        <v>148</v>
      </c>
      <c r="H816">
        <v>0</v>
      </c>
      <c r="I816">
        <v>147</v>
      </c>
      <c r="J816">
        <v>143</v>
      </c>
      <c r="K816">
        <v>137</v>
      </c>
      <c r="L816">
        <v>1</v>
      </c>
      <c r="M816">
        <v>2020</v>
      </c>
      <c r="N816">
        <v>2</v>
      </c>
      <c r="O816">
        <v>4</v>
      </c>
      <c r="P816">
        <v>1</v>
      </c>
      <c r="Q816" s="2" t="s">
        <v>17</v>
      </c>
    </row>
    <row r="817" spans="1:17" x14ac:dyDescent="0.3">
      <c r="A817" s="1">
        <v>43871</v>
      </c>
      <c r="B817" s="3">
        <v>148</v>
      </c>
      <c r="C817" s="3">
        <v>148</v>
      </c>
      <c r="D817" s="3">
        <v>148</v>
      </c>
      <c r="E817" s="3">
        <v>148</v>
      </c>
      <c r="F817" s="4">
        <v>5793600</v>
      </c>
      <c r="G817" s="3">
        <v>148</v>
      </c>
      <c r="H817">
        <v>0</v>
      </c>
      <c r="I817">
        <v>147</v>
      </c>
      <c r="J817">
        <v>144</v>
      </c>
      <c r="K817">
        <v>137</v>
      </c>
      <c r="L817">
        <v>1</v>
      </c>
      <c r="M817">
        <v>2020</v>
      </c>
      <c r="N817">
        <v>2</v>
      </c>
      <c r="O817">
        <v>0</v>
      </c>
      <c r="P817">
        <v>1</v>
      </c>
      <c r="Q817" s="2" t="s">
        <v>17</v>
      </c>
    </row>
    <row r="818" spans="1:17" x14ac:dyDescent="0.3">
      <c r="A818" s="1">
        <v>43872</v>
      </c>
      <c r="B818" s="3">
        <v>148</v>
      </c>
      <c r="C818" s="3">
        <v>148</v>
      </c>
      <c r="D818" s="3">
        <v>147</v>
      </c>
      <c r="E818" s="3">
        <v>148</v>
      </c>
      <c r="F818" s="4">
        <v>5179400</v>
      </c>
      <c r="G818" s="3">
        <v>148</v>
      </c>
      <c r="H818">
        <v>0</v>
      </c>
      <c r="I818">
        <v>147</v>
      </c>
      <c r="J818">
        <v>144</v>
      </c>
      <c r="K818">
        <v>137</v>
      </c>
      <c r="L818">
        <v>1</v>
      </c>
      <c r="M818">
        <v>2020</v>
      </c>
      <c r="N818">
        <v>2</v>
      </c>
      <c r="O818">
        <v>1</v>
      </c>
      <c r="P818">
        <v>1</v>
      </c>
      <c r="Q818" s="2" t="s">
        <v>17</v>
      </c>
    </row>
    <row r="819" spans="1:17" x14ac:dyDescent="0.3">
      <c r="A819" s="1">
        <v>43873</v>
      </c>
      <c r="B819" s="3">
        <v>148</v>
      </c>
      <c r="C819" s="3">
        <v>148</v>
      </c>
      <c r="D819" s="3">
        <v>147</v>
      </c>
      <c r="E819" s="3">
        <v>147</v>
      </c>
      <c r="F819" s="4">
        <v>5040600</v>
      </c>
      <c r="G819" s="3">
        <v>148</v>
      </c>
      <c r="H819">
        <v>0</v>
      </c>
      <c r="I819">
        <v>148</v>
      </c>
      <c r="J819">
        <v>144</v>
      </c>
      <c r="K819">
        <v>137</v>
      </c>
      <c r="L819">
        <v>1</v>
      </c>
      <c r="M819">
        <v>2020</v>
      </c>
      <c r="N819">
        <v>2</v>
      </c>
      <c r="O819">
        <v>2</v>
      </c>
      <c r="P819">
        <v>1</v>
      </c>
      <c r="Q819" s="2" t="s">
        <v>17</v>
      </c>
    </row>
    <row r="820" spans="1:17" x14ac:dyDescent="0.3">
      <c r="A820" s="1">
        <v>43874</v>
      </c>
      <c r="B820" s="3">
        <v>148</v>
      </c>
      <c r="C820" s="3">
        <v>149</v>
      </c>
      <c r="D820" s="3">
        <v>148</v>
      </c>
      <c r="E820" s="3">
        <v>148</v>
      </c>
      <c r="F820" s="4">
        <v>7082100</v>
      </c>
      <c r="G820" s="3">
        <v>148</v>
      </c>
      <c r="H820">
        <v>1</v>
      </c>
      <c r="I820">
        <v>148</v>
      </c>
      <c r="J820">
        <v>144</v>
      </c>
      <c r="K820">
        <v>137</v>
      </c>
      <c r="L820">
        <v>1</v>
      </c>
      <c r="M820">
        <v>2020</v>
      </c>
      <c r="N820">
        <v>2</v>
      </c>
      <c r="O820">
        <v>3</v>
      </c>
      <c r="P820">
        <v>1</v>
      </c>
      <c r="Q820" s="2" t="s">
        <v>17</v>
      </c>
    </row>
    <row r="821" spans="1:17" x14ac:dyDescent="0.3">
      <c r="A821" s="1">
        <v>43875</v>
      </c>
      <c r="B821" s="3">
        <v>149</v>
      </c>
      <c r="C821" s="3">
        <v>149</v>
      </c>
      <c r="D821" s="3">
        <v>149</v>
      </c>
      <c r="E821" s="3">
        <v>149</v>
      </c>
      <c r="F821" s="4">
        <v>5345400</v>
      </c>
      <c r="G821" s="3">
        <v>149</v>
      </c>
      <c r="H821">
        <v>0</v>
      </c>
      <c r="I821">
        <v>148</v>
      </c>
      <c r="J821">
        <v>144</v>
      </c>
      <c r="K821">
        <v>138</v>
      </c>
      <c r="L821">
        <v>1</v>
      </c>
      <c r="M821">
        <v>2020</v>
      </c>
      <c r="N821">
        <v>2</v>
      </c>
      <c r="O821">
        <v>4</v>
      </c>
      <c r="P821">
        <v>1</v>
      </c>
      <c r="Q821" s="2" t="s">
        <v>17</v>
      </c>
    </row>
    <row r="822" spans="1:17" x14ac:dyDescent="0.3">
      <c r="A822" s="1">
        <v>43879</v>
      </c>
      <c r="B822" s="3">
        <v>151</v>
      </c>
      <c r="C822" s="3">
        <v>151</v>
      </c>
      <c r="D822" s="3">
        <v>149</v>
      </c>
      <c r="E822" s="3">
        <v>150</v>
      </c>
      <c r="F822" s="4">
        <v>11524900</v>
      </c>
      <c r="G822" s="3">
        <v>151</v>
      </c>
      <c r="H822">
        <v>1</v>
      </c>
      <c r="I822">
        <v>148</v>
      </c>
      <c r="J822">
        <v>145</v>
      </c>
      <c r="K822">
        <v>138</v>
      </c>
      <c r="L822">
        <v>1</v>
      </c>
      <c r="M822">
        <v>2020</v>
      </c>
      <c r="N822">
        <v>2</v>
      </c>
      <c r="O822">
        <v>1</v>
      </c>
      <c r="P822">
        <v>1</v>
      </c>
      <c r="Q822" s="2" t="s">
        <v>17</v>
      </c>
    </row>
    <row r="823" spans="1:17" x14ac:dyDescent="0.3">
      <c r="A823" s="1">
        <v>43880</v>
      </c>
      <c r="B823" s="3">
        <v>152</v>
      </c>
      <c r="C823" s="3">
        <v>152</v>
      </c>
      <c r="D823" s="3">
        <v>151</v>
      </c>
      <c r="E823" s="3">
        <v>151</v>
      </c>
      <c r="F823" s="4">
        <v>9269800</v>
      </c>
      <c r="G823" s="3">
        <v>152</v>
      </c>
      <c r="H823">
        <v>1</v>
      </c>
      <c r="I823">
        <v>148</v>
      </c>
      <c r="J823">
        <v>145</v>
      </c>
      <c r="K823">
        <v>138</v>
      </c>
      <c r="L823">
        <v>1</v>
      </c>
      <c r="M823">
        <v>2020</v>
      </c>
      <c r="N823">
        <v>2</v>
      </c>
      <c r="O823">
        <v>2</v>
      </c>
      <c r="P823">
        <v>1</v>
      </c>
      <c r="Q823" s="2" t="s">
        <v>17</v>
      </c>
    </row>
    <row r="824" spans="1:17" x14ac:dyDescent="0.3">
      <c r="A824" s="1">
        <v>43881</v>
      </c>
      <c r="B824" s="3">
        <v>152</v>
      </c>
      <c r="C824" s="3">
        <v>153</v>
      </c>
      <c r="D824" s="3">
        <v>152</v>
      </c>
      <c r="E824" s="3">
        <v>152</v>
      </c>
      <c r="F824" s="4">
        <v>8457300</v>
      </c>
      <c r="G824" s="3">
        <v>152</v>
      </c>
      <c r="H824">
        <v>0</v>
      </c>
      <c r="I824">
        <v>149</v>
      </c>
      <c r="J824">
        <v>145</v>
      </c>
      <c r="K824">
        <v>138</v>
      </c>
      <c r="L824">
        <v>1</v>
      </c>
      <c r="M824">
        <v>2020</v>
      </c>
      <c r="N824">
        <v>2</v>
      </c>
      <c r="O824">
        <v>3</v>
      </c>
      <c r="P824">
        <v>1</v>
      </c>
      <c r="Q824" s="2" t="s">
        <v>17</v>
      </c>
    </row>
    <row r="825" spans="1:17" x14ac:dyDescent="0.3">
      <c r="A825" s="1">
        <v>43882</v>
      </c>
      <c r="B825" s="3">
        <v>155</v>
      </c>
      <c r="C825" s="3">
        <v>155</v>
      </c>
      <c r="D825" s="3">
        <v>154</v>
      </c>
      <c r="E825" s="3">
        <v>154</v>
      </c>
      <c r="F825" s="4">
        <v>16344500</v>
      </c>
      <c r="G825" s="3">
        <v>155</v>
      </c>
      <c r="H825">
        <v>2</v>
      </c>
      <c r="I825">
        <v>149</v>
      </c>
      <c r="J825">
        <v>146</v>
      </c>
      <c r="K825">
        <v>138</v>
      </c>
      <c r="L825">
        <v>1</v>
      </c>
      <c r="M825">
        <v>2020</v>
      </c>
      <c r="N825">
        <v>2</v>
      </c>
      <c r="O825">
        <v>4</v>
      </c>
      <c r="P825">
        <v>1</v>
      </c>
      <c r="Q825" s="2" t="s">
        <v>17</v>
      </c>
    </row>
    <row r="826" spans="1:17" x14ac:dyDescent="0.3">
      <c r="A826" s="1">
        <v>43885</v>
      </c>
      <c r="B826" s="3">
        <v>156</v>
      </c>
      <c r="C826" s="3">
        <v>159</v>
      </c>
      <c r="D826" s="3">
        <v>155</v>
      </c>
      <c r="E826" s="3">
        <v>159</v>
      </c>
      <c r="F826" s="4">
        <v>27171000</v>
      </c>
      <c r="G826" s="3">
        <v>156</v>
      </c>
      <c r="H826">
        <v>1</v>
      </c>
      <c r="I826">
        <v>149</v>
      </c>
      <c r="J826">
        <v>146</v>
      </c>
      <c r="K826">
        <v>138</v>
      </c>
      <c r="L826">
        <v>1</v>
      </c>
      <c r="M826">
        <v>2020</v>
      </c>
      <c r="N826">
        <v>2</v>
      </c>
      <c r="O826">
        <v>0</v>
      </c>
      <c r="P826">
        <v>1</v>
      </c>
      <c r="Q826" s="2" t="s">
        <v>17</v>
      </c>
    </row>
    <row r="827" spans="1:17" x14ac:dyDescent="0.3">
      <c r="A827" s="1">
        <v>43886</v>
      </c>
      <c r="B827" s="3">
        <v>153</v>
      </c>
      <c r="C827" s="3">
        <v>156</v>
      </c>
      <c r="D827" s="3">
        <v>153</v>
      </c>
      <c r="E827" s="3">
        <v>155</v>
      </c>
      <c r="F827" s="4">
        <v>28091500</v>
      </c>
      <c r="G827" s="3">
        <v>153</v>
      </c>
      <c r="H827">
        <v>-2</v>
      </c>
      <c r="I827">
        <v>150</v>
      </c>
      <c r="J827">
        <v>146</v>
      </c>
      <c r="K827">
        <v>139</v>
      </c>
      <c r="L827">
        <v>1</v>
      </c>
      <c r="M827">
        <v>2020</v>
      </c>
      <c r="N827">
        <v>2</v>
      </c>
      <c r="O827">
        <v>1</v>
      </c>
      <c r="P827">
        <v>1</v>
      </c>
      <c r="Q827" s="2" t="s">
        <v>17</v>
      </c>
    </row>
    <row r="828" spans="1:17" x14ac:dyDescent="0.3">
      <c r="A828" s="1">
        <v>43887</v>
      </c>
      <c r="B828" s="3">
        <v>154</v>
      </c>
      <c r="C828" s="3">
        <v>155</v>
      </c>
      <c r="D828" s="3">
        <v>153</v>
      </c>
      <c r="E828" s="3">
        <v>154</v>
      </c>
      <c r="F828" s="4">
        <v>17912500</v>
      </c>
      <c r="G828" s="3">
        <v>154</v>
      </c>
      <c r="H828">
        <v>0</v>
      </c>
      <c r="I828">
        <v>150</v>
      </c>
      <c r="J828">
        <v>146</v>
      </c>
      <c r="K828">
        <v>139</v>
      </c>
      <c r="L828">
        <v>1</v>
      </c>
      <c r="M828">
        <v>2020</v>
      </c>
      <c r="N828">
        <v>2</v>
      </c>
      <c r="O828">
        <v>2</v>
      </c>
      <c r="P828">
        <v>1</v>
      </c>
      <c r="Q828" s="2" t="s">
        <v>17</v>
      </c>
    </row>
    <row r="829" spans="1:17" x14ac:dyDescent="0.3">
      <c r="A829" s="1">
        <v>43888</v>
      </c>
      <c r="B829" s="3">
        <v>154</v>
      </c>
      <c r="C829" s="3">
        <v>156</v>
      </c>
      <c r="D829" s="3">
        <v>154</v>
      </c>
      <c r="E829" s="3">
        <v>156</v>
      </c>
      <c r="F829" s="4">
        <v>27878500</v>
      </c>
      <c r="G829" s="3">
        <v>154</v>
      </c>
      <c r="H829">
        <v>0</v>
      </c>
      <c r="I829">
        <v>150</v>
      </c>
      <c r="J829">
        <v>147</v>
      </c>
      <c r="K829">
        <v>139</v>
      </c>
      <c r="L829">
        <v>1</v>
      </c>
      <c r="M829">
        <v>2020</v>
      </c>
      <c r="N829">
        <v>2</v>
      </c>
      <c r="O829">
        <v>3</v>
      </c>
      <c r="P829">
        <v>1</v>
      </c>
      <c r="Q829" s="2" t="s">
        <v>17</v>
      </c>
    </row>
    <row r="830" spans="1:17" x14ac:dyDescent="0.3">
      <c r="A830" s="1">
        <v>43889</v>
      </c>
      <c r="B830" s="3">
        <v>148</v>
      </c>
      <c r="C830" s="3">
        <v>153</v>
      </c>
      <c r="D830" s="3">
        <v>147</v>
      </c>
      <c r="E830" s="3">
        <v>153</v>
      </c>
      <c r="F830" s="4">
        <v>42699600</v>
      </c>
      <c r="G830" s="3">
        <v>148</v>
      </c>
      <c r="H830">
        <v>-4</v>
      </c>
      <c r="I830">
        <v>150</v>
      </c>
      <c r="J830">
        <v>147</v>
      </c>
      <c r="K830">
        <v>139</v>
      </c>
      <c r="L830">
        <v>1</v>
      </c>
      <c r="M830">
        <v>2020</v>
      </c>
      <c r="N830">
        <v>2</v>
      </c>
      <c r="O830">
        <v>4</v>
      </c>
      <c r="P830">
        <v>1</v>
      </c>
      <c r="Q830" s="2" t="s">
        <v>17</v>
      </c>
    </row>
    <row r="831" spans="1:17" x14ac:dyDescent="0.3">
      <c r="A831" s="1">
        <v>43892</v>
      </c>
      <c r="B831" s="3">
        <v>149</v>
      </c>
      <c r="C831" s="3">
        <v>151</v>
      </c>
      <c r="D831" s="3">
        <v>149</v>
      </c>
      <c r="E831" s="3">
        <v>150</v>
      </c>
      <c r="F831" s="4">
        <v>16295400</v>
      </c>
      <c r="G831" s="3">
        <v>149</v>
      </c>
      <c r="H831">
        <v>1</v>
      </c>
      <c r="I831">
        <v>150</v>
      </c>
      <c r="J831">
        <v>147</v>
      </c>
      <c r="K831">
        <v>139</v>
      </c>
      <c r="L831">
        <v>1</v>
      </c>
      <c r="M831">
        <v>2020</v>
      </c>
      <c r="N831">
        <v>3</v>
      </c>
      <c r="O831">
        <v>0</v>
      </c>
      <c r="P831">
        <v>1</v>
      </c>
      <c r="Q831" s="2" t="s">
        <v>17</v>
      </c>
    </row>
    <row r="832" spans="1:17" x14ac:dyDescent="0.3">
      <c r="A832" s="1">
        <v>43893</v>
      </c>
      <c r="B832" s="3">
        <v>154</v>
      </c>
      <c r="C832" s="3">
        <v>155</v>
      </c>
      <c r="D832" s="3">
        <v>151</v>
      </c>
      <c r="E832" s="3">
        <v>151</v>
      </c>
      <c r="F832" s="4">
        <v>28687700</v>
      </c>
      <c r="G832" s="3">
        <v>154</v>
      </c>
      <c r="H832">
        <v>3</v>
      </c>
      <c r="I832">
        <v>150</v>
      </c>
      <c r="J832">
        <v>147</v>
      </c>
      <c r="K832">
        <v>139</v>
      </c>
      <c r="L832">
        <v>1</v>
      </c>
      <c r="M832">
        <v>2020</v>
      </c>
      <c r="N832">
        <v>3</v>
      </c>
      <c r="O832">
        <v>1</v>
      </c>
      <c r="P832">
        <v>1</v>
      </c>
      <c r="Q832" s="2" t="s">
        <v>17</v>
      </c>
    </row>
    <row r="833" spans="1:17" x14ac:dyDescent="0.3">
      <c r="A833" s="1">
        <v>43894</v>
      </c>
      <c r="B833" s="3">
        <v>154</v>
      </c>
      <c r="C833" s="3">
        <v>155</v>
      </c>
      <c r="D833" s="3">
        <v>154</v>
      </c>
      <c r="E833" s="3">
        <v>154</v>
      </c>
      <c r="F833" s="4">
        <v>12315500</v>
      </c>
      <c r="G833" s="3">
        <v>154</v>
      </c>
      <c r="H833">
        <v>0</v>
      </c>
      <c r="I833">
        <v>151</v>
      </c>
      <c r="J833">
        <v>148</v>
      </c>
      <c r="K833">
        <v>139</v>
      </c>
      <c r="L833">
        <v>1</v>
      </c>
      <c r="M833">
        <v>2020</v>
      </c>
      <c r="N833">
        <v>3</v>
      </c>
      <c r="O833">
        <v>2</v>
      </c>
      <c r="P833">
        <v>1</v>
      </c>
      <c r="Q833" s="2" t="s">
        <v>17</v>
      </c>
    </row>
    <row r="834" spans="1:17" x14ac:dyDescent="0.3">
      <c r="A834" s="1">
        <v>43895</v>
      </c>
      <c r="B834" s="3">
        <v>157</v>
      </c>
      <c r="C834" s="3">
        <v>158</v>
      </c>
      <c r="D834" s="3">
        <v>156</v>
      </c>
      <c r="E834" s="3">
        <v>156</v>
      </c>
      <c r="F834" s="4">
        <v>17973500</v>
      </c>
      <c r="G834" s="3">
        <v>157</v>
      </c>
      <c r="H834">
        <v>2</v>
      </c>
      <c r="I834">
        <v>151</v>
      </c>
      <c r="J834">
        <v>148</v>
      </c>
      <c r="K834">
        <v>140</v>
      </c>
      <c r="L834">
        <v>1</v>
      </c>
      <c r="M834">
        <v>2020</v>
      </c>
      <c r="N834">
        <v>3</v>
      </c>
      <c r="O834">
        <v>3</v>
      </c>
      <c r="P834">
        <v>1</v>
      </c>
      <c r="Q834" s="2" t="s">
        <v>17</v>
      </c>
    </row>
    <row r="835" spans="1:17" x14ac:dyDescent="0.3">
      <c r="A835" s="1">
        <v>43896</v>
      </c>
      <c r="B835" s="3">
        <v>158</v>
      </c>
      <c r="C835" s="3">
        <v>159</v>
      </c>
      <c r="D835" s="3">
        <v>155</v>
      </c>
      <c r="E835" s="3">
        <v>158</v>
      </c>
      <c r="F835" s="4">
        <v>26973400</v>
      </c>
      <c r="G835" s="3">
        <v>158</v>
      </c>
      <c r="H835">
        <v>0</v>
      </c>
      <c r="I835">
        <v>152</v>
      </c>
      <c r="J835">
        <v>148</v>
      </c>
      <c r="K835">
        <v>140</v>
      </c>
      <c r="L835">
        <v>1</v>
      </c>
      <c r="M835">
        <v>2020</v>
      </c>
      <c r="N835">
        <v>3</v>
      </c>
      <c r="O835">
        <v>4</v>
      </c>
      <c r="P835">
        <v>1</v>
      </c>
      <c r="Q835" s="2" t="s">
        <v>17</v>
      </c>
    </row>
    <row r="836" spans="1:17" x14ac:dyDescent="0.3">
      <c r="A836" s="1">
        <v>43899</v>
      </c>
      <c r="B836" s="3">
        <v>158</v>
      </c>
      <c r="C836" s="3">
        <v>159</v>
      </c>
      <c r="D836" s="3">
        <v>156</v>
      </c>
      <c r="E836" s="3">
        <v>159</v>
      </c>
      <c r="F836" s="4">
        <v>24868700</v>
      </c>
      <c r="G836" s="3">
        <v>158</v>
      </c>
      <c r="H836">
        <v>0</v>
      </c>
      <c r="I836">
        <v>152</v>
      </c>
      <c r="J836">
        <v>149</v>
      </c>
      <c r="K836">
        <v>140</v>
      </c>
      <c r="L836">
        <v>1</v>
      </c>
      <c r="M836">
        <v>2020</v>
      </c>
      <c r="N836">
        <v>3</v>
      </c>
      <c r="O836">
        <v>0</v>
      </c>
      <c r="P836">
        <v>1</v>
      </c>
      <c r="Q836" s="2" t="s">
        <v>17</v>
      </c>
    </row>
    <row r="837" spans="1:17" x14ac:dyDescent="0.3">
      <c r="A837" s="1">
        <v>43900</v>
      </c>
      <c r="B837" s="3">
        <v>154</v>
      </c>
      <c r="C837" s="3">
        <v>156</v>
      </c>
      <c r="D837" s="3">
        <v>154</v>
      </c>
      <c r="E837" s="3">
        <v>156</v>
      </c>
      <c r="F837" s="4">
        <v>18811500</v>
      </c>
      <c r="G837" s="3">
        <v>154</v>
      </c>
      <c r="H837">
        <v>-2</v>
      </c>
      <c r="I837">
        <v>153</v>
      </c>
      <c r="J837">
        <v>149</v>
      </c>
      <c r="K837">
        <v>140</v>
      </c>
      <c r="L837">
        <v>1</v>
      </c>
      <c r="M837">
        <v>2020</v>
      </c>
      <c r="N837">
        <v>3</v>
      </c>
      <c r="O837">
        <v>1</v>
      </c>
      <c r="P837">
        <v>1</v>
      </c>
      <c r="Q837" s="2" t="s">
        <v>17</v>
      </c>
    </row>
    <row r="838" spans="1:17" x14ac:dyDescent="0.3">
      <c r="A838" s="1">
        <v>43901</v>
      </c>
      <c r="B838" s="3">
        <v>154</v>
      </c>
      <c r="C838" s="3">
        <v>157</v>
      </c>
      <c r="D838" s="3">
        <v>154</v>
      </c>
      <c r="E838" s="3">
        <v>156</v>
      </c>
      <c r="F838" s="4">
        <v>18159900</v>
      </c>
      <c r="G838" s="3">
        <v>154</v>
      </c>
      <c r="H838">
        <v>0</v>
      </c>
      <c r="I838">
        <v>153</v>
      </c>
      <c r="J838">
        <v>149</v>
      </c>
      <c r="K838">
        <v>140</v>
      </c>
      <c r="L838">
        <v>1</v>
      </c>
      <c r="M838">
        <v>2020</v>
      </c>
      <c r="N838">
        <v>3</v>
      </c>
      <c r="O838">
        <v>2</v>
      </c>
      <c r="P838">
        <v>1</v>
      </c>
      <c r="Q838" s="2" t="s">
        <v>17</v>
      </c>
    </row>
    <row r="839" spans="1:17" x14ac:dyDescent="0.3">
      <c r="A839" s="1">
        <v>43902</v>
      </c>
      <c r="B839" s="3">
        <v>148</v>
      </c>
      <c r="C839" s="3">
        <v>152</v>
      </c>
      <c r="D839" s="3">
        <v>147</v>
      </c>
      <c r="E839" s="3">
        <v>152</v>
      </c>
      <c r="F839" s="4">
        <v>32893400</v>
      </c>
      <c r="G839" s="3">
        <v>148</v>
      </c>
      <c r="H839">
        <v>-4</v>
      </c>
      <c r="I839">
        <v>153</v>
      </c>
      <c r="J839">
        <v>149</v>
      </c>
      <c r="K839">
        <v>141</v>
      </c>
      <c r="L839">
        <v>2</v>
      </c>
      <c r="M839">
        <v>2020</v>
      </c>
      <c r="N839">
        <v>3</v>
      </c>
      <c r="O839">
        <v>3</v>
      </c>
      <c r="P839">
        <v>1</v>
      </c>
      <c r="Q839" s="2" t="s">
        <v>17</v>
      </c>
    </row>
    <row r="840" spans="1:17" x14ac:dyDescent="0.3">
      <c r="A840" s="1">
        <v>43903</v>
      </c>
      <c r="B840" s="3">
        <v>143</v>
      </c>
      <c r="C840" s="3">
        <v>150</v>
      </c>
      <c r="D840" s="3">
        <v>142</v>
      </c>
      <c r="E840" s="3">
        <v>149</v>
      </c>
      <c r="F840" s="4">
        <v>35177200</v>
      </c>
      <c r="G840" s="3">
        <v>143</v>
      </c>
      <c r="H840">
        <v>-3</v>
      </c>
      <c r="I840">
        <v>153</v>
      </c>
      <c r="J840">
        <v>149</v>
      </c>
      <c r="K840">
        <v>141</v>
      </c>
      <c r="L840">
        <v>2</v>
      </c>
      <c r="M840">
        <v>2020</v>
      </c>
      <c r="N840">
        <v>3</v>
      </c>
      <c r="O840">
        <v>4</v>
      </c>
      <c r="P840">
        <v>1</v>
      </c>
      <c r="Q840" s="2" t="s">
        <v>17</v>
      </c>
    </row>
    <row r="841" spans="1:17" x14ac:dyDescent="0.3">
      <c r="A841" s="1">
        <v>43906</v>
      </c>
      <c r="B841" s="3">
        <v>142</v>
      </c>
      <c r="C841" s="3">
        <v>143</v>
      </c>
      <c r="D841" s="3">
        <v>136</v>
      </c>
      <c r="E841" s="3">
        <v>138</v>
      </c>
      <c r="F841" s="4">
        <v>24496000</v>
      </c>
      <c r="G841" s="3">
        <v>142</v>
      </c>
      <c r="H841">
        <v>-1</v>
      </c>
      <c r="I841">
        <v>152</v>
      </c>
      <c r="J841">
        <v>149</v>
      </c>
      <c r="K841">
        <v>141</v>
      </c>
      <c r="L841">
        <v>2</v>
      </c>
      <c r="M841">
        <v>2020</v>
      </c>
      <c r="N841">
        <v>3</v>
      </c>
      <c r="O841">
        <v>0</v>
      </c>
      <c r="P841">
        <v>1</v>
      </c>
      <c r="Q841" s="2" t="s">
        <v>17</v>
      </c>
    </row>
    <row r="842" spans="1:17" x14ac:dyDescent="0.3">
      <c r="A842" s="1">
        <v>43907</v>
      </c>
      <c r="B842" s="3">
        <v>144</v>
      </c>
      <c r="C842" s="3">
        <v>146</v>
      </c>
      <c r="D842" s="3">
        <v>140</v>
      </c>
      <c r="E842" s="3">
        <v>140</v>
      </c>
      <c r="F842" s="4">
        <v>24490300</v>
      </c>
      <c r="G842" s="3">
        <v>144</v>
      </c>
      <c r="H842">
        <v>1</v>
      </c>
      <c r="I842">
        <v>152</v>
      </c>
      <c r="J842">
        <v>149</v>
      </c>
      <c r="K842">
        <v>141</v>
      </c>
      <c r="L842">
        <v>2</v>
      </c>
      <c r="M842">
        <v>2020</v>
      </c>
      <c r="N842">
        <v>3</v>
      </c>
      <c r="O842">
        <v>1</v>
      </c>
      <c r="P842">
        <v>1</v>
      </c>
      <c r="Q842" s="2" t="s">
        <v>17</v>
      </c>
    </row>
    <row r="843" spans="1:17" x14ac:dyDescent="0.3">
      <c r="A843" s="1">
        <v>43908</v>
      </c>
      <c r="B843" s="3">
        <v>141</v>
      </c>
      <c r="C843" s="3">
        <v>143</v>
      </c>
      <c r="D843" s="3">
        <v>139</v>
      </c>
      <c r="E843" s="3">
        <v>142</v>
      </c>
      <c r="F843" s="4">
        <v>21953400</v>
      </c>
      <c r="G843" s="3">
        <v>141</v>
      </c>
      <c r="H843">
        <v>-2</v>
      </c>
      <c r="I843">
        <v>151</v>
      </c>
      <c r="J843">
        <v>149</v>
      </c>
      <c r="K843">
        <v>141</v>
      </c>
      <c r="L843">
        <v>2</v>
      </c>
      <c r="M843">
        <v>2020</v>
      </c>
      <c r="N843">
        <v>3</v>
      </c>
      <c r="O843">
        <v>2</v>
      </c>
      <c r="P843">
        <v>1</v>
      </c>
      <c r="Q843" s="2" t="s">
        <v>17</v>
      </c>
    </row>
    <row r="844" spans="1:17" x14ac:dyDescent="0.3">
      <c r="A844" s="1">
        <v>43909</v>
      </c>
      <c r="B844" s="3">
        <v>138</v>
      </c>
      <c r="C844" s="3">
        <v>141</v>
      </c>
      <c r="D844" s="3">
        <v>138</v>
      </c>
      <c r="E844" s="3">
        <v>139</v>
      </c>
      <c r="F844" s="4">
        <v>20828900</v>
      </c>
      <c r="G844" s="3">
        <v>138</v>
      </c>
      <c r="H844">
        <v>-2</v>
      </c>
      <c r="I844">
        <v>151</v>
      </c>
      <c r="J844">
        <v>149</v>
      </c>
      <c r="K844">
        <v>141</v>
      </c>
      <c r="L844">
        <v>2</v>
      </c>
      <c r="M844">
        <v>2020</v>
      </c>
      <c r="N844">
        <v>3</v>
      </c>
      <c r="O844">
        <v>3</v>
      </c>
      <c r="P844">
        <v>1</v>
      </c>
      <c r="Q844" s="2" t="s">
        <v>17</v>
      </c>
    </row>
    <row r="845" spans="1:17" x14ac:dyDescent="0.3">
      <c r="A845" s="1">
        <v>43910</v>
      </c>
      <c r="B845" s="3">
        <v>140</v>
      </c>
      <c r="C845" s="3">
        <v>141</v>
      </c>
      <c r="D845" s="3">
        <v>139</v>
      </c>
      <c r="E845" s="3">
        <v>141</v>
      </c>
      <c r="F845" s="4">
        <v>20056000</v>
      </c>
      <c r="G845" s="3">
        <v>140</v>
      </c>
      <c r="H845">
        <v>1</v>
      </c>
      <c r="I845">
        <v>150</v>
      </c>
      <c r="J845">
        <v>149</v>
      </c>
      <c r="K845">
        <v>141</v>
      </c>
      <c r="L845">
        <v>2</v>
      </c>
      <c r="M845">
        <v>2020</v>
      </c>
      <c r="N845">
        <v>3</v>
      </c>
      <c r="O845">
        <v>4</v>
      </c>
      <c r="P845">
        <v>1</v>
      </c>
      <c r="Q845" s="2" t="s">
        <v>17</v>
      </c>
    </row>
    <row r="846" spans="1:17" x14ac:dyDescent="0.3">
      <c r="A846" s="1">
        <v>43913</v>
      </c>
      <c r="B846" s="3">
        <v>146</v>
      </c>
      <c r="C846" s="3">
        <v>147</v>
      </c>
      <c r="D846" s="3">
        <v>142</v>
      </c>
      <c r="E846" s="3">
        <v>143</v>
      </c>
      <c r="F846" s="4">
        <v>28275200</v>
      </c>
      <c r="G846" s="3">
        <v>146</v>
      </c>
      <c r="H846">
        <v>4</v>
      </c>
      <c r="I846">
        <v>149</v>
      </c>
      <c r="J846">
        <v>149</v>
      </c>
      <c r="K846">
        <v>141</v>
      </c>
      <c r="L846">
        <v>2</v>
      </c>
      <c r="M846">
        <v>2020</v>
      </c>
      <c r="N846">
        <v>3</v>
      </c>
      <c r="O846">
        <v>0</v>
      </c>
      <c r="P846">
        <v>1</v>
      </c>
      <c r="Q846" s="2" t="s">
        <v>17</v>
      </c>
    </row>
    <row r="847" spans="1:17" x14ac:dyDescent="0.3">
      <c r="A847" s="1">
        <v>43914</v>
      </c>
      <c r="B847" s="3">
        <v>153</v>
      </c>
      <c r="C847" s="3">
        <v>156</v>
      </c>
      <c r="D847" s="3">
        <v>152</v>
      </c>
      <c r="E847" s="3">
        <v>154</v>
      </c>
      <c r="F847" s="4">
        <v>20743500</v>
      </c>
      <c r="G847" s="3">
        <v>153</v>
      </c>
      <c r="H847">
        <v>5</v>
      </c>
      <c r="I847">
        <v>149</v>
      </c>
      <c r="J847">
        <v>149</v>
      </c>
      <c r="K847">
        <v>141</v>
      </c>
      <c r="L847">
        <v>2</v>
      </c>
      <c r="M847">
        <v>2020</v>
      </c>
      <c r="N847">
        <v>3</v>
      </c>
      <c r="O847">
        <v>1</v>
      </c>
      <c r="P847">
        <v>1</v>
      </c>
      <c r="Q847" s="2" t="s">
        <v>17</v>
      </c>
    </row>
    <row r="848" spans="1:17" x14ac:dyDescent="0.3">
      <c r="A848" s="1">
        <v>43915</v>
      </c>
      <c r="B848" s="3">
        <v>151</v>
      </c>
      <c r="C848" s="3">
        <v>153</v>
      </c>
      <c r="D848" s="3">
        <v>151</v>
      </c>
      <c r="E848" s="3">
        <v>153</v>
      </c>
      <c r="F848" s="4">
        <v>16457200</v>
      </c>
      <c r="G848" s="3">
        <v>151</v>
      </c>
      <c r="H848">
        <v>-1</v>
      </c>
      <c r="I848">
        <v>149</v>
      </c>
      <c r="J848">
        <v>149</v>
      </c>
      <c r="K848">
        <v>141</v>
      </c>
      <c r="L848">
        <v>2</v>
      </c>
      <c r="M848">
        <v>2020</v>
      </c>
      <c r="N848">
        <v>3</v>
      </c>
      <c r="O848">
        <v>2</v>
      </c>
      <c r="P848">
        <v>1</v>
      </c>
      <c r="Q848" s="2" t="s">
        <v>17</v>
      </c>
    </row>
    <row r="849" spans="1:17" x14ac:dyDescent="0.3">
      <c r="A849" s="1">
        <v>43916</v>
      </c>
      <c r="B849" s="3">
        <v>153</v>
      </c>
      <c r="C849" s="3">
        <v>155</v>
      </c>
      <c r="D849" s="3">
        <v>152</v>
      </c>
      <c r="E849" s="3">
        <v>153</v>
      </c>
      <c r="F849" s="4">
        <v>12778200</v>
      </c>
      <c r="G849" s="3">
        <v>153</v>
      </c>
      <c r="H849">
        <v>1</v>
      </c>
      <c r="I849">
        <v>149</v>
      </c>
      <c r="J849">
        <v>149</v>
      </c>
      <c r="K849">
        <v>142</v>
      </c>
      <c r="L849">
        <v>2</v>
      </c>
      <c r="M849">
        <v>2020</v>
      </c>
      <c r="N849">
        <v>3</v>
      </c>
      <c r="O849">
        <v>3</v>
      </c>
      <c r="P849">
        <v>1</v>
      </c>
      <c r="Q849" s="2" t="s">
        <v>17</v>
      </c>
    </row>
    <row r="850" spans="1:17" x14ac:dyDescent="0.3">
      <c r="A850" s="1">
        <v>43917</v>
      </c>
      <c r="B850" s="3">
        <v>152</v>
      </c>
      <c r="C850" s="3">
        <v>154</v>
      </c>
      <c r="D850" s="3">
        <v>152</v>
      </c>
      <c r="E850" s="3">
        <v>153</v>
      </c>
      <c r="F850" s="4">
        <v>9824600</v>
      </c>
      <c r="G850" s="3">
        <v>152</v>
      </c>
      <c r="H850">
        <v>-1</v>
      </c>
      <c r="I850">
        <v>150</v>
      </c>
      <c r="J850">
        <v>149</v>
      </c>
      <c r="K850">
        <v>142</v>
      </c>
      <c r="L850">
        <v>2</v>
      </c>
      <c r="M850">
        <v>2020</v>
      </c>
      <c r="N850">
        <v>3</v>
      </c>
      <c r="O850">
        <v>4</v>
      </c>
      <c r="P850">
        <v>1</v>
      </c>
      <c r="Q850" s="2" t="s">
        <v>17</v>
      </c>
    </row>
    <row r="851" spans="1:17" x14ac:dyDescent="0.3">
      <c r="A851" s="1">
        <v>43920</v>
      </c>
      <c r="B851" s="3">
        <v>153</v>
      </c>
      <c r="C851" s="3">
        <v>153</v>
      </c>
      <c r="D851" s="3">
        <v>152</v>
      </c>
      <c r="E851" s="3">
        <v>152</v>
      </c>
      <c r="F851" s="4">
        <v>12080900</v>
      </c>
      <c r="G851" s="3">
        <v>153</v>
      </c>
      <c r="H851">
        <v>0</v>
      </c>
      <c r="I851">
        <v>150</v>
      </c>
      <c r="J851">
        <v>149</v>
      </c>
      <c r="K851">
        <v>142</v>
      </c>
      <c r="L851">
        <v>2</v>
      </c>
      <c r="M851">
        <v>2020</v>
      </c>
      <c r="N851">
        <v>3</v>
      </c>
      <c r="O851">
        <v>0</v>
      </c>
      <c r="P851">
        <v>1</v>
      </c>
      <c r="Q851" s="2" t="s">
        <v>17</v>
      </c>
    </row>
    <row r="852" spans="1:17" x14ac:dyDescent="0.3">
      <c r="A852" s="1">
        <v>43921</v>
      </c>
      <c r="B852" s="3">
        <v>148</v>
      </c>
      <c r="C852" s="3">
        <v>152</v>
      </c>
      <c r="D852" s="3">
        <v>148</v>
      </c>
      <c r="E852" s="3">
        <v>151</v>
      </c>
      <c r="F852" s="4">
        <v>13319500</v>
      </c>
      <c r="G852" s="3">
        <v>148</v>
      </c>
      <c r="H852">
        <v>-3</v>
      </c>
      <c r="I852">
        <v>149</v>
      </c>
      <c r="J852">
        <v>150</v>
      </c>
      <c r="K852">
        <v>142</v>
      </c>
      <c r="L852">
        <v>2</v>
      </c>
      <c r="M852">
        <v>2020</v>
      </c>
      <c r="N852">
        <v>3</v>
      </c>
      <c r="O852">
        <v>1</v>
      </c>
      <c r="P852">
        <v>1</v>
      </c>
      <c r="Q852" s="2" t="s">
        <v>17</v>
      </c>
    </row>
    <row r="853" spans="1:17" x14ac:dyDescent="0.3">
      <c r="A853" s="1">
        <v>43922</v>
      </c>
      <c r="B853" s="3">
        <v>149</v>
      </c>
      <c r="C853" s="3">
        <v>150</v>
      </c>
      <c r="D853" s="3">
        <v>148</v>
      </c>
      <c r="E853" s="3">
        <v>148</v>
      </c>
      <c r="F853" s="4">
        <v>11827400</v>
      </c>
      <c r="G853" s="3">
        <v>149</v>
      </c>
      <c r="H853">
        <v>1</v>
      </c>
      <c r="I853">
        <v>149</v>
      </c>
      <c r="J853">
        <v>150</v>
      </c>
      <c r="K853">
        <v>142</v>
      </c>
      <c r="L853">
        <v>2</v>
      </c>
      <c r="M853">
        <v>2020</v>
      </c>
      <c r="N853">
        <v>4</v>
      </c>
      <c r="O853">
        <v>2</v>
      </c>
      <c r="P853">
        <v>2</v>
      </c>
      <c r="Q853" s="2" t="s">
        <v>17</v>
      </c>
    </row>
    <row r="854" spans="1:17" x14ac:dyDescent="0.3">
      <c r="A854" s="1">
        <v>43923</v>
      </c>
      <c r="B854" s="3">
        <v>152</v>
      </c>
      <c r="C854" s="3">
        <v>153</v>
      </c>
      <c r="D854" s="3">
        <v>151</v>
      </c>
      <c r="E854" s="3">
        <v>151</v>
      </c>
      <c r="F854" s="4">
        <v>9188300</v>
      </c>
      <c r="G854" s="3">
        <v>152</v>
      </c>
      <c r="H854">
        <v>2</v>
      </c>
      <c r="I854">
        <v>149</v>
      </c>
      <c r="J854">
        <v>150</v>
      </c>
      <c r="K854">
        <v>142</v>
      </c>
      <c r="L854">
        <v>2</v>
      </c>
      <c r="M854">
        <v>2020</v>
      </c>
      <c r="N854">
        <v>4</v>
      </c>
      <c r="O854">
        <v>3</v>
      </c>
      <c r="P854">
        <v>2</v>
      </c>
      <c r="Q854" s="2" t="s">
        <v>17</v>
      </c>
    </row>
    <row r="855" spans="1:17" x14ac:dyDescent="0.3">
      <c r="A855" s="1">
        <v>43924</v>
      </c>
      <c r="B855" s="3">
        <v>153</v>
      </c>
      <c r="C855" s="3">
        <v>153</v>
      </c>
      <c r="D855" s="3">
        <v>152</v>
      </c>
      <c r="E855" s="3">
        <v>152</v>
      </c>
      <c r="F855" s="4">
        <v>8469100</v>
      </c>
      <c r="G855" s="3">
        <v>153</v>
      </c>
      <c r="H855">
        <v>0</v>
      </c>
      <c r="I855">
        <v>149</v>
      </c>
      <c r="J855">
        <v>150</v>
      </c>
      <c r="K855">
        <v>142</v>
      </c>
      <c r="L855">
        <v>2</v>
      </c>
      <c r="M855">
        <v>2020</v>
      </c>
      <c r="N855">
        <v>4</v>
      </c>
      <c r="O855">
        <v>4</v>
      </c>
      <c r="P855">
        <v>2</v>
      </c>
      <c r="Q855" s="2" t="s">
        <v>17</v>
      </c>
    </row>
    <row r="856" spans="1:17" x14ac:dyDescent="0.3">
      <c r="A856" s="1">
        <v>43927</v>
      </c>
      <c r="B856" s="3">
        <v>157</v>
      </c>
      <c r="C856" s="3">
        <v>157</v>
      </c>
      <c r="D856" s="3">
        <v>154</v>
      </c>
      <c r="E856" s="3">
        <v>154</v>
      </c>
      <c r="F856" s="4">
        <v>14739300</v>
      </c>
      <c r="G856" s="3">
        <v>157</v>
      </c>
      <c r="H856">
        <v>3</v>
      </c>
      <c r="I856">
        <v>149</v>
      </c>
      <c r="J856">
        <v>150</v>
      </c>
      <c r="K856">
        <v>142</v>
      </c>
      <c r="L856">
        <v>2</v>
      </c>
      <c r="M856">
        <v>2020</v>
      </c>
      <c r="N856">
        <v>4</v>
      </c>
      <c r="O856">
        <v>0</v>
      </c>
      <c r="P856">
        <v>2</v>
      </c>
      <c r="Q856" s="2" t="s">
        <v>17</v>
      </c>
    </row>
    <row r="857" spans="1:17" x14ac:dyDescent="0.3">
      <c r="A857" s="1">
        <v>43928</v>
      </c>
      <c r="B857" s="3">
        <v>156</v>
      </c>
      <c r="C857" s="3">
        <v>156</v>
      </c>
      <c r="D857" s="3">
        <v>154</v>
      </c>
      <c r="E857" s="3">
        <v>155</v>
      </c>
      <c r="F857" s="4">
        <v>9195400</v>
      </c>
      <c r="G857" s="3">
        <v>156</v>
      </c>
      <c r="H857">
        <v>-1</v>
      </c>
      <c r="I857">
        <v>149</v>
      </c>
      <c r="J857">
        <v>150</v>
      </c>
      <c r="K857">
        <v>143</v>
      </c>
      <c r="L857">
        <v>2</v>
      </c>
      <c r="M857">
        <v>2020</v>
      </c>
      <c r="N857">
        <v>4</v>
      </c>
      <c r="O857">
        <v>1</v>
      </c>
      <c r="P857">
        <v>2</v>
      </c>
      <c r="Q857" s="2" t="s">
        <v>17</v>
      </c>
    </row>
    <row r="858" spans="1:17" x14ac:dyDescent="0.3">
      <c r="A858" s="1">
        <v>43929</v>
      </c>
      <c r="B858" s="3">
        <v>155</v>
      </c>
      <c r="C858" s="3">
        <v>156</v>
      </c>
      <c r="D858" s="3">
        <v>155</v>
      </c>
      <c r="E858" s="3">
        <v>156</v>
      </c>
      <c r="F858" s="4">
        <v>7600800</v>
      </c>
      <c r="G858" s="3">
        <v>155</v>
      </c>
      <c r="H858">
        <v>-1</v>
      </c>
      <c r="I858">
        <v>149</v>
      </c>
      <c r="J858">
        <v>150</v>
      </c>
      <c r="K858">
        <v>143</v>
      </c>
      <c r="L858">
        <v>2</v>
      </c>
      <c r="M858">
        <v>2020</v>
      </c>
      <c r="N858">
        <v>4</v>
      </c>
      <c r="O858">
        <v>2</v>
      </c>
      <c r="P858">
        <v>2</v>
      </c>
      <c r="Q858" s="2" t="s">
        <v>17</v>
      </c>
    </row>
    <row r="859" spans="1:17" x14ac:dyDescent="0.3">
      <c r="A859" s="1">
        <v>43930</v>
      </c>
      <c r="B859" s="3">
        <v>159</v>
      </c>
      <c r="C859" s="3">
        <v>159</v>
      </c>
      <c r="D859" s="3">
        <v>157</v>
      </c>
      <c r="E859" s="3">
        <v>158</v>
      </c>
      <c r="F859" s="4">
        <v>18123000</v>
      </c>
      <c r="G859" s="3">
        <v>159</v>
      </c>
      <c r="H859">
        <v>3</v>
      </c>
      <c r="I859">
        <v>149</v>
      </c>
      <c r="J859">
        <v>150</v>
      </c>
      <c r="K859">
        <v>143</v>
      </c>
      <c r="L859">
        <v>2</v>
      </c>
      <c r="M859">
        <v>2020</v>
      </c>
      <c r="N859">
        <v>4</v>
      </c>
      <c r="O859">
        <v>3</v>
      </c>
      <c r="P859">
        <v>2</v>
      </c>
      <c r="Q859" s="2" t="s">
        <v>17</v>
      </c>
    </row>
    <row r="860" spans="1:17" x14ac:dyDescent="0.3">
      <c r="A860" s="1">
        <v>43934</v>
      </c>
      <c r="B860" s="3">
        <v>161</v>
      </c>
      <c r="C860" s="3">
        <v>162</v>
      </c>
      <c r="D860" s="3">
        <v>159</v>
      </c>
      <c r="E860" s="3">
        <v>159</v>
      </c>
      <c r="F860" s="4">
        <v>20549200</v>
      </c>
      <c r="G860" s="3">
        <v>161</v>
      </c>
      <c r="H860">
        <v>2</v>
      </c>
      <c r="I860">
        <v>150</v>
      </c>
      <c r="J860">
        <v>151</v>
      </c>
      <c r="K860">
        <v>143</v>
      </c>
      <c r="L860">
        <v>2</v>
      </c>
      <c r="M860">
        <v>2020</v>
      </c>
      <c r="N860">
        <v>4</v>
      </c>
      <c r="O860">
        <v>0</v>
      </c>
      <c r="P860">
        <v>2</v>
      </c>
      <c r="Q860" s="2" t="s">
        <v>17</v>
      </c>
    </row>
    <row r="861" spans="1:17" x14ac:dyDescent="0.3">
      <c r="A861" s="1">
        <v>43935</v>
      </c>
      <c r="B861" s="3">
        <v>163</v>
      </c>
      <c r="C861" s="3">
        <v>164</v>
      </c>
      <c r="D861" s="3">
        <v>162</v>
      </c>
      <c r="E861" s="3">
        <v>163</v>
      </c>
      <c r="F861" s="4">
        <v>17095100</v>
      </c>
      <c r="G861" s="3">
        <v>163</v>
      </c>
      <c r="H861">
        <v>1</v>
      </c>
      <c r="I861">
        <v>151</v>
      </c>
      <c r="J861">
        <v>151</v>
      </c>
      <c r="K861">
        <v>143</v>
      </c>
      <c r="L861">
        <v>2</v>
      </c>
      <c r="M861">
        <v>2020</v>
      </c>
      <c r="N861">
        <v>4</v>
      </c>
      <c r="O861">
        <v>1</v>
      </c>
      <c r="P861">
        <v>2</v>
      </c>
      <c r="Q861" s="2" t="s">
        <v>17</v>
      </c>
    </row>
    <row r="862" spans="1:17" x14ac:dyDescent="0.3">
      <c r="A862" s="1">
        <v>43936</v>
      </c>
      <c r="B862" s="3">
        <v>162</v>
      </c>
      <c r="C862" s="3">
        <v>163</v>
      </c>
      <c r="D862" s="3">
        <v>161</v>
      </c>
      <c r="E862" s="3">
        <v>162</v>
      </c>
      <c r="F862" s="4">
        <v>12141900</v>
      </c>
      <c r="G862" s="3">
        <v>162</v>
      </c>
      <c r="H862">
        <v>-1</v>
      </c>
      <c r="I862">
        <v>152</v>
      </c>
      <c r="J862">
        <v>151</v>
      </c>
      <c r="K862">
        <v>143</v>
      </c>
      <c r="L862">
        <v>2</v>
      </c>
      <c r="M862">
        <v>2020</v>
      </c>
      <c r="N862">
        <v>4</v>
      </c>
      <c r="O862">
        <v>2</v>
      </c>
      <c r="P862">
        <v>2</v>
      </c>
      <c r="Q862" s="2" t="s">
        <v>17</v>
      </c>
    </row>
    <row r="863" spans="1:17" x14ac:dyDescent="0.3">
      <c r="A863" s="1">
        <v>43937</v>
      </c>
      <c r="B863" s="3">
        <v>162</v>
      </c>
      <c r="C863" s="3">
        <v>163</v>
      </c>
      <c r="D863" s="3">
        <v>161</v>
      </c>
      <c r="E863" s="3">
        <v>162</v>
      </c>
      <c r="F863" s="4">
        <v>9233200</v>
      </c>
      <c r="G863" s="3">
        <v>162</v>
      </c>
      <c r="H863">
        <v>0</v>
      </c>
      <c r="I863">
        <v>153</v>
      </c>
      <c r="J863">
        <v>152</v>
      </c>
      <c r="K863">
        <v>143</v>
      </c>
      <c r="L863">
        <v>2</v>
      </c>
      <c r="M863">
        <v>2020</v>
      </c>
      <c r="N863">
        <v>4</v>
      </c>
      <c r="O863">
        <v>3</v>
      </c>
      <c r="P863">
        <v>2</v>
      </c>
      <c r="Q863" s="2" t="s">
        <v>17</v>
      </c>
    </row>
    <row r="864" spans="1:17" x14ac:dyDescent="0.3">
      <c r="A864" s="1">
        <v>43938</v>
      </c>
      <c r="B864" s="3">
        <v>159</v>
      </c>
      <c r="C864" s="3">
        <v>160</v>
      </c>
      <c r="D864" s="3">
        <v>158</v>
      </c>
      <c r="E864" s="3">
        <v>160</v>
      </c>
      <c r="F864" s="4">
        <v>14652700</v>
      </c>
      <c r="G864" s="3">
        <v>159</v>
      </c>
      <c r="H864">
        <v>-2</v>
      </c>
      <c r="I864">
        <v>154</v>
      </c>
      <c r="J864">
        <v>152</v>
      </c>
      <c r="K864">
        <v>143</v>
      </c>
      <c r="L864">
        <v>2</v>
      </c>
      <c r="M864">
        <v>2020</v>
      </c>
      <c r="N864">
        <v>4</v>
      </c>
      <c r="O864">
        <v>4</v>
      </c>
      <c r="P864">
        <v>2</v>
      </c>
      <c r="Q864" s="2" t="s">
        <v>17</v>
      </c>
    </row>
    <row r="865" spans="1:17" x14ac:dyDescent="0.3">
      <c r="A865" s="1">
        <v>43941</v>
      </c>
      <c r="B865" s="3">
        <v>160</v>
      </c>
      <c r="C865" s="3">
        <v>160</v>
      </c>
      <c r="D865" s="3">
        <v>158</v>
      </c>
      <c r="E865" s="3">
        <v>159</v>
      </c>
      <c r="F865" s="4">
        <v>10688700</v>
      </c>
      <c r="G865" s="3">
        <v>160</v>
      </c>
      <c r="H865">
        <v>1</v>
      </c>
      <c r="I865">
        <v>155</v>
      </c>
      <c r="J865">
        <v>152</v>
      </c>
      <c r="K865">
        <v>144</v>
      </c>
      <c r="L865">
        <v>2</v>
      </c>
      <c r="M865">
        <v>2020</v>
      </c>
      <c r="N865">
        <v>4</v>
      </c>
      <c r="O865">
        <v>0</v>
      </c>
      <c r="P865">
        <v>2</v>
      </c>
      <c r="Q865" s="2" t="s">
        <v>17</v>
      </c>
    </row>
    <row r="866" spans="1:17" x14ac:dyDescent="0.3">
      <c r="A866" s="1">
        <v>43942</v>
      </c>
      <c r="B866" s="3">
        <v>159</v>
      </c>
      <c r="C866" s="3">
        <v>159</v>
      </c>
      <c r="D866" s="3">
        <v>157</v>
      </c>
      <c r="E866" s="3">
        <v>158</v>
      </c>
      <c r="F866" s="4">
        <v>12478100</v>
      </c>
      <c r="G866" s="3">
        <v>159</v>
      </c>
      <c r="H866">
        <v>-1</v>
      </c>
      <c r="I866">
        <v>156</v>
      </c>
      <c r="J866">
        <v>152</v>
      </c>
      <c r="K866">
        <v>144</v>
      </c>
      <c r="L866">
        <v>2</v>
      </c>
      <c r="M866">
        <v>2020</v>
      </c>
      <c r="N866">
        <v>4</v>
      </c>
      <c r="O866">
        <v>1</v>
      </c>
      <c r="P866">
        <v>2</v>
      </c>
      <c r="Q866" s="2" t="s">
        <v>17</v>
      </c>
    </row>
    <row r="867" spans="1:17" x14ac:dyDescent="0.3">
      <c r="A867" s="1">
        <v>43943</v>
      </c>
      <c r="B867" s="3">
        <v>162</v>
      </c>
      <c r="C867" s="3">
        <v>162</v>
      </c>
      <c r="D867" s="3">
        <v>160</v>
      </c>
      <c r="E867" s="3">
        <v>161</v>
      </c>
      <c r="F867" s="4">
        <v>12902100</v>
      </c>
      <c r="G867" s="3">
        <v>162</v>
      </c>
      <c r="H867">
        <v>2</v>
      </c>
      <c r="I867">
        <v>156</v>
      </c>
      <c r="J867">
        <v>153</v>
      </c>
      <c r="K867">
        <v>144</v>
      </c>
      <c r="L867">
        <v>2</v>
      </c>
      <c r="M867">
        <v>2020</v>
      </c>
      <c r="N867">
        <v>4</v>
      </c>
      <c r="O867">
        <v>2</v>
      </c>
      <c r="P867">
        <v>2</v>
      </c>
      <c r="Q867" s="2" t="s">
        <v>17</v>
      </c>
    </row>
    <row r="868" spans="1:17" x14ac:dyDescent="0.3">
      <c r="A868" s="1">
        <v>43944</v>
      </c>
      <c r="B868" s="3">
        <v>163</v>
      </c>
      <c r="C868" s="3">
        <v>164</v>
      </c>
      <c r="D868" s="3">
        <v>162</v>
      </c>
      <c r="E868" s="3">
        <v>162</v>
      </c>
      <c r="F868" s="4">
        <v>14928500</v>
      </c>
      <c r="G868" s="3">
        <v>163</v>
      </c>
      <c r="H868">
        <v>1</v>
      </c>
      <c r="I868">
        <v>157</v>
      </c>
      <c r="J868">
        <v>153</v>
      </c>
      <c r="K868">
        <v>144</v>
      </c>
      <c r="L868">
        <v>1</v>
      </c>
      <c r="M868">
        <v>2020</v>
      </c>
      <c r="N868">
        <v>4</v>
      </c>
      <c r="O868">
        <v>3</v>
      </c>
      <c r="P868">
        <v>2</v>
      </c>
      <c r="Q868" s="2" t="s">
        <v>17</v>
      </c>
    </row>
    <row r="869" spans="1:17" x14ac:dyDescent="0.3">
      <c r="A869" s="1">
        <v>43945</v>
      </c>
      <c r="B869" s="3">
        <v>163</v>
      </c>
      <c r="C869" s="3">
        <v>163</v>
      </c>
      <c r="D869" s="3">
        <v>161</v>
      </c>
      <c r="E869" s="3">
        <v>163</v>
      </c>
      <c r="F869" s="4">
        <v>11199300</v>
      </c>
      <c r="G869" s="3">
        <v>163</v>
      </c>
      <c r="H869">
        <v>0</v>
      </c>
      <c r="I869">
        <v>157</v>
      </c>
      <c r="J869">
        <v>153</v>
      </c>
      <c r="K869">
        <v>144</v>
      </c>
      <c r="L869">
        <v>1</v>
      </c>
      <c r="M869">
        <v>2020</v>
      </c>
      <c r="N869">
        <v>4</v>
      </c>
      <c r="O869">
        <v>4</v>
      </c>
      <c r="P869">
        <v>2</v>
      </c>
      <c r="Q869" s="2" t="s">
        <v>17</v>
      </c>
    </row>
    <row r="870" spans="1:17" x14ac:dyDescent="0.3">
      <c r="A870" s="1">
        <v>43948</v>
      </c>
      <c r="B870" s="3">
        <v>162</v>
      </c>
      <c r="C870" s="3">
        <v>162</v>
      </c>
      <c r="D870" s="3">
        <v>160</v>
      </c>
      <c r="E870" s="3">
        <v>162</v>
      </c>
      <c r="F870" s="4">
        <v>9033500</v>
      </c>
      <c r="G870" s="3">
        <v>162</v>
      </c>
      <c r="H870">
        <v>-1</v>
      </c>
      <c r="I870">
        <v>158</v>
      </c>
      <c r="J870">
        <v>153</v>
      </c>
      <c r="K870">
        <v>144</v>
      </c>
      <c r="L870">
        <v>1</v>
      </c>
      <c r="M870">
        <v>2020</v>
      </c>
      <c r="N870">
        <v>4</v>
      </c>
      <c r="O870">
        <v>0</v>
      </c>
      <c r="P870">
        <v>2</v>
      </c>
      <c r="Q870" s="2" t="s">
        <v>17</v>
      </c>
    </row>
    <row r="871" spans="1:17" x14ac:dyDescent="0.3">
      <c r="A871" s="1">
        <v>43949</v>
      </c>
      <c r="B871" s="3">
        <v>161</v>
      </c>
      <c r="C871" s="3">
        <v>161</v>
      </c>
      <c r="D871" s="3">
        <v>159</v>
      </c>
      <c r="E871" s="3">
        <v>161</v>
      </c>
      <c r="F871" s="4">
        <v>10383000</v>
      </c>
      <c r="G871" s="3">
        <v>161</v>
      </c>
      <c r="H871">
        <v>0</v>
      </c>
      <c r="I871">
        <v>158</v>
      </c>
      <c r="J871">
        <v>154</v>
      </c>
      <c r="K871">
        <v>144</v>
      </c>
      <c r="L871">
        <v>1</v>
      </c>
      <c r="M871">
        <v>2020</v>
      </c>
      <c r="N871">
        <v>4</v>
      </c>
      <c r="O871">
        <v>1</v>
      </c>
      <c r="P871">
        <v>2</v>
      </c>
      <c r="Q871" s="2" t="s">
        <v>17</v>
      </c>
    </row>
    <row r="872" spans="1:17" x14ac:dyDescent="0.3">
      <c r="A872" s="1">
        <v>43950</v>
      </c>
      <c r="B872" s="3">
        <v>162</v>
      </c>
      <c r="C872" s="3">
        <v>162</v>
      </c>
      <c r="D872" s="3">
        <v>160</v>
      </c>
      <c r="E872" s="3">
        <v>160</v>
      </c>
      <c r="F872" s="4">
        <v>12232300</v>
      </c>
      <c r="G872" s="3">
        <v>162</v>
      </c>
      <c r="H872">
        <v>1</v>
      </c>
      <c r="I872">
        <v>159</v>
      </c>
      <c r="J872">
        <v>154</v>
      </c>
      <c r="K872">
        <v>145</v>
      </c>
      <c r="L872">
        <v>1</v>
      </c>
      <c r="M872">
        <v>2020</v>
      </c>
      <c r="N872">
        <v>4</v>
      </c>
      <c r="O872">
        <v>2</v>
      </c>
      <c r="P872">
        <v>2</v>
      </c>
      <c r="Q872" s="2" t="s">
        <v>17</v>
      </c>
    </row>
    <row r="873" spans="1:17" x14ac:dyDescent="0.3">
      <c r="A873" s="1">
        <v>43951</v>
      </c>
      <c r="B873" s="3">
        <v>159</v>
      </c>
      <c r="C873" s="3">
        <v>161</v>
      </c>
      <c r="D873" s="3">
        <v>158</v>
      </c>
      <c r="E873" s="3">
        <v>160</v>
      </c>
      <c r="F873" s="4">
        <v>13633500</v>
      </c>
      <c r="G873" s="3">
        <v>159</v>
      </c>
      <c r="H873">
        <v>-2</v>
      </c>
      <c r="I873">
        <v>159</v>
      </c>
      <c r="J873">
        <v>154</v>
      </c>
      <c r="K873">
        <v>145</v>
      </c>
      <c r="L873">
        <v>1</v>
      </c>
      <c r="M873">
        <v>2020</v>
      </c>
      <c r="N873">
        <v>4</v>
      </c>
      <c r="O873">
        <v>3</v>
      </c>
      <c r="P873">
        <v>2</v>
      </c>
      <c r="Q873" s="2" t="s">
        <v>17</v>
      </c>
    </row>
    <row r="874" spans="1:17" x14ac:dyDescent="0.3">
      <c r="A874" s="1">
        <v>43952</v>
      </c>
      <c r="B874" s="3">
        <v>160</v>
      </c>
      <c r="C874" s="3">
        <v>160</v>
      </c>
      <c r="D874" s="3">
        <v>158</v>
      </c>
      <c r="E874" s="3">
        <v>158</v>
      </c>
      <c r="F874" s="4">
        <v>10914300</v>
      </c>
      <c r="G874" s="3">
        <v>160</v>
      </c>
      <c r="H874">
        <v>1</v>
      </c>
      <c r="I874">
        <v>160</v>
      </c>
      <c r="J874">
        <v>154</v>
      </c>
      <c r="K874">
        <v>145</v>
      </c>
      <c r="L874">
        <v>1</v>
      </c>
      <c r="M874">
        <v>2020</v>
      </c>
      <c r="N874">
        <v>5</v>
      </c>
      <c r="O874">
        <v>4</v>
      </c>
      <c r="P874">
        <v>2</v>
      </c>
      <c r="Q874" s="2" t="s">
        <v>17</v>
      </c>
    </row>
    <row r="875" spans="1:17" x14ac:dyDescent="0.3">
      <c r="A875" s="1">
        <v>43955</v>
      </c>
      <c r="B875" s="3">
        <v>160</v>
      </c>
      <c r="C875" s="3">
        <v>161</v>
      </c>
      <c r="D875" s="3">
        <v>160</v>
      </c>
      <c r="E875" s="3">
        <v>160</v>
      </c>
      <c r="F875" s="4">
        <v>7986200</v>
      </c>
      <c r="G875" s="3">
        <v>160</v>
      </c>
      <c r="H875">
        <v>0</v>
      </c>
      <c r="I875">
        <v>160</v>
      </c>
      <c r="J875">
        <v>154</v>
      </c>
      <c r="K875">
        <v>145</v>
      </c>
      <c r="L875">
        <v>1</v>
      </c>
      <c r="M875">
        <v>2020</v>
      </c>
      <c r="N875">
        <v>5</v>
      </c>
      <c r="O875">
        <v>0</v>
      </c>
      <c r="P875">
        <v>2</v>
      </c>
      <c r="Q875" s="2" t="s">
        <v>17</v>
      </c>
    </row>
    <row r="876" spans="1:17" x14ac:dyDescent="0.3">
      <c r="A876" s="1">
        <v>43956</v>
      </c>
      <c r="B876" s="3">
        <v>161</v>
      </c>
      <c r="C876" s="3">
        <v>161</v>
      </c>
      <c r="D876" s="3">
        <v>159</v>
      </c>
      <c r="E876" s="3">
        <v>160</v>
      </c>
      <c r="F876" s="4">
        <v>10563100</v>
      </c>
      <c r="G876" s="3">
        <v>161</v>
      </c>
      <c r="H876">
        <v>0</v>
      </c>
      <c r="I876">
        <v>160</v>
      </c>
      <c r="J876">
        <v>154</v>
      </c>
      <c r="K876">
        <v>145</v>
      </c>
      <c r="L876">
        <v>1</v>
      </c>
      <c r="M876">
        <v>2020</v>
      </c>
      <c r="N876">
        <v>5</v>
      </c>
      <c r="O876">
        <v>1</v>
      </c>
      <c r="P876">
        <v>2</v>
      </c>
      <c r="Q876" s="2" t="s">
        <v>17</v>
      </c>
    </row>
    <row r="877" spans="1:17" x14ac:dyDescent="0.3">
      <c r="A877" s="1">
        <v>43957</v>
      </c>
      <c r="B877" s="3">
        <v>159</v>
      </c>
      <c r="C877" s="3">
        <v>160</v>
      </c>
      <c r="D877" s="3">
        <v>158</v>
      </c>
      <c r="E877" s="3">
        <v>159</v>
      </c>
      <c r="F877" s="4">
        <v>13352000</v>
      </c>
      <c r="G877" s="3">
        <v>159</v>
      </c>
      <c r="H877">
        <v>-1</v>
      </c>
      <c r="I877">
        <v>160</v>
      </c>
      <c r="J877">
        <v>154</v>
      </c>
      <c r="K877">
        <v>145</v>
      </c>
      <c r="L877">
        <v>1</v>
      </c>
      <c r="M877">
        <v>2020</v>
      </c>
      <c r="N877">
        <v>5</v>
      </c>
      <c r="O877">
        <v>2</v>
      </c>
      <c r="P877">
        <v>2</v>
      </c>
      <c r="Q877" s="2" t="s">
        <v>17</v>
      </c>
    </row>
    <row r="878" spans="1:17" x14ac:dyDescent="0.3">
      <c r="A878" s="1">
        <v>43958</v>
      </c>
      <c r="B878" s="3">
        <v>161</v>
      </c>
      <c r="C878" s="3">
        <v>162</v>
      </c>
      <c r="D878" s="3">
        <v>159</v>
      </c>
      <c r="E878" s="3">
        <v>160</v>
      </c>
      <c r="F878" s="4">
        <v>13691700</v>
      </c>
      <c r="G878" s="3">
        <v>161</v>
      </c>
      <c r="H878">
        <v>2</v>
      </c>
      <c r="I878">
        <v>161</v>
      </c>
      <c r="J878">
        <v>155</v>
      </c>
      <c r="K878">
        <v>145</v>
      </c>
      <c r="L878">
        <v>1</v>
      </c>
      <c r="M878">
        <v>2020</v>
      </c>
      <c r="N878">
        <v>5</v>
      </c>
      <c r="O878">
        <v>3</v>
      </c>
      <c r="P878">
        <v>2</v>
      </c>
      <c r="Q878" s="2" t="s">
        <v>17</v>
      </c>
    </row>
    <row r="879" spans="1:17" x14ac:dyDescent="0.3">
      <c r="A879" s="1">
        <v>43959</v>
      </c>
      <c r="B879" s="3">
        <v>160</v>
      </c>
      <c r="C879" s="3">
        <v>162</v>
      </c>
      <c r="D879" s="3">
        <v>160</v>
      </c>
      <c r="E879" s="3">
        <v>161</v>
      </c>
      <c r="F879" s="4">
        <v>12240900</v>
      </c>
      <c r="G879" s="3">
        <v>160</v>
      </c>
      <c r="H879">
        <v>-1</v>
      </c>
      <c r="I879">
        <v>161</v>
      </c>
      <c r="J879">
        <v>155</v>
      </c>
      <c r="K879">
        <v>146</v>
      </c>
      <c r="L879">
        <v>1</v>
      </c>
      <c r="M879">
        <v>2020</v>
      </c>
      <c r="N879">
        <v>5</v>
      </c>
      <c r="O879">
        <v>4</v>
      </c>
      <c r="P879">
        <v>2</v>
      </c>
      <c r="Q879" s="2" t="s">
        <v>17</v>
      </c>
    </row>
    <row r="880" spans="1:17" x14ac:dyDescent="0.3">
      <c r="A880" s="1">
        <v>43962</v>
      </c>
      <c r="B880" s="3">
        <v>159</v>
      </c>
      <c r="C880" s="3">
        <v>161</v>
      </c>
      <c r="D880" s="3">
        <v>159</v>
      </c>
      <c r="E880" s="3">
        <v>160</v>
      </c>
      <c r="F880" s="4">
        <v>11209800</v>
      </c>
      <c r="G880" s="3">
        <v>159</v>
      </c>
      <c r="H880">
        <v>-1</v>
      </c>
      <c r="I880">
        <v>161</v>
      </c>
      <c r="J880">
        <v>155</v>
      </c>
      <c r="K880">
        <v>146</v>
      </c>
      <c r="L880">
        <v>1</v>
      </c>
      <c r="M880">
        <v>2020</v>
      </c>
      <c r="N880">
        <v>5</v>
      </c>
      <c r="O880">
        <v>0</v>
      </c>
      <c r="P880">
        <v>2</v>
      </c>
      <c r="Q880" s="2" t="s">
        <v>17</v>
      </c>
    </row>
    <row r="881" spans="1:17" x14ac:dyDescent="0.3">
      <c r="A881" s="1">
        <v>43963</v>
      </c>
      <c r="B881" s="3">
        <v>160</v>
      </c>
      <c r="C881" s="3">
        <v>161</v>
      </c>
      <c r="D881" s="3">
        <v>160</v>
      </c>
      <c r="E881" s="3">
        <v>160</v>
      </c>
      <c r="F881" s="4">
        <v>10406000</v>
      </c>
      <c r="G881" s="3">
        <v>160</v>
      </c>
      <c r="H881">
        <v>0</v>
      </c>
      <c r="I881">
        <v>161</v>
      </c>
      <c r="J881">
        <v>155</v>
      </c>
      <c r="K881">
        <v>146</v>
      </c>
      <c r="L881">
        <v>1</v>
      </c>
      <c r="M881">
        <v>2020</v>
      </c>
      <c r="N881">
        <v>5</v>
      </c>
      <c r="O881">
        <v>1</v>
      </c>
      <c r="P881">
        <v>2</v>
      </c>
      <c r="Q881" s="2" t="s">
        <v>17</v>
      </c>
    </row>
    <row r="882" spans="1:17" x14ac:dyDescent="0.3">
      <c r="A882" s="1">
        <v>43964</v>
      </c>
      <c r="B882" s="3">
        <v>162</v>
      </c>
      <c r="C882" s="3">
        <v>162</v>
      </c>
      <c r="D882" s="3">
        <v>161</v>
      </c>
      <c r="E882" s="3">
        <v>161</v>
      </c>
      <c r="F882" s="4">
        <v>10950400</v>
      </c>
      <c r="G882" s="3">
        <v>162</v>
      </c>
      <c r="H882">
        <v>1</v>
      </c>
      <c r="I882">
        <v>161</v>
      </c>
      <c r="J882">
        <v>155</v>
      </c>
      <c r="K882">
        <v>146</v>
      </c>
      <c r="L882">
        <v>1</v>
      </c>
      <c r="M882">
        <v>2020</v>
      </c>
      <c r="N882">
        <v>5</v>
      </c>
      <c r="O882">
        <v>2</v>
      </c>
      <c r="P882">
        <v>2</v>
      </c>
      <c r="Q882" s="2" t="s">
        <v>17</v>
      </c>
    </row>
    <row r="883" spans="1:17" x14ac:dyDescent="0.3">
      <c r="A883" s="1">
        <v>43965</v>
      </c>
      <c r="B883" s="3">
        <v>163</v>
      </c>
      <c r="C883" s="3">
        <v>163</v>
      </c>
      <c r="D883" s="3">
        <v>162</v>
      </c>
      <c r="E883" s="3">
        <v>162</v>
      </c>
      <c r="F883" s="4">
        <v>17084400</v>
      </c>
      <c r="G883" s="3">
        <v>163</v>
      </c>
      <c r="H883">
        <v>1</v>
      </c>
      <c r="I883">
        <v>161</v>
      </c>
      <c r="J883">
        <v>156</v>
      </c>
      <c r="K883">
        <v>146</v>
      </c>
      <c r="L883">
        <v>1</v>
      </c>
      <c r="M883">
        <v>2020</v>
      </c>
      <c r="N883">
        <v>5</v>
      </c>
      <c r="O883">
        <v>3</v>
      </c>
      <c r="P883">
        <v>2</v>
      </c>
      <c r="Q883" s="2" t="s">
        <v>17</v>
      </c>
    </row>
    <row r="884" spans="1:17" x14ac:dyDescent="0.3">
      <c r="A884" s="1">
        <v>43966</v>
      </c>
      <c r="B884" s="3">
        <v>164</v>
      </c>
      <c r="C884" s="3">
        <v>165</v>
      </c>
      <c r="D884" s="3">
        <v>163</v>
      </c>
      <c r="E884" s="3">
        <v>164</v>
      </c>
      <c r="F884" s="4">
        <v>13918800</v>
      </c>
      <c r="G884" s="3">
        <v>164</v>
      </c>
      <c r="H884">
        <v>1</v>
      </c>
      <c r="I884">
        <v>161</v>
      </c>
      <c r="J884">
        <v>156</v>
      </c>
      <c r="K884">
        <v>146</v>
      </c>
      <c r="L884">
        <v>1</v>
      </c>
      <c r="M884">
        <v>2020</v>
      </c>
      <c r="N884">
        <v>5</v>
      </c>
      <c r="O884">
        <v>4</v>
      </c>
      <c r="P884">
        <v>2</v>
      </c>
      <c r="Q884" s="2" t="s">
        <v>17</v>
      </c>
    </row>
    <row r="885" spans="1:17" x14ac:dyDescent="0.3">
      <c r="A885" s="1">
        <v>43969</v>
      </c>
      <c r="B885" s="3">
        <v>163</v>
      </c>
      <c r="C885" s="3">
        <v>165</v>
      </c>
      <c r="D885" s="3">
        <v>162</v>
      </c>
      <c r="E885" s="3">
        <v>164</v>
      </c>
      <c r="F885" s="4">
        <v>14133800</v>
      </c>
      <c r="G885" s="3">
        <v>163</v>
      </c>
      <c r="H885">
        <v>-1</v>
      </c>
      <c r="I885">
        <v>161</v>
      </c>
      <c r="J885">
        <v>156</v>
      </c>
      <c r="K885">
        <v>146</v>
      </c>
      <c r="L885">
        <v>1</v>
      </c>
      <c r="M885">
        <v>2020</v>
      </c>
      <c r="N885">
        <v>5</v>
      </c>
      <c r="O885">
        <v>0</v>
      </c>
      <c r="P885">
        <v>2</v>
      </c>
      <c r="Q885" s="2" t="s">
        <v>17</v>
      </c>
    </row>
    <row r="886" spans="1:17" x14ac:dyDescent="0.3">
      <c r="A886" s="1">
        <v>43970</v>
      </c>
      <c r="B886" s="3">
        <v>164</v>
      </c>
      <c r="C886" s="3">
        <v>164</v>
      </c>
      <c r="D886" s="3">
        <v>163</v>
      </c>
      <c r="E886" s="3">
        <v>164</v>
      </c>
      <c r="F886" s="4">
        <v>8535800</v>
      </c>
      <c r="G886" s="3">
        <v>164</v>
      </c>
      <c r="H886">
        <v>1</v>
      </c>
      <c r="I886">
        <v>161</v>
      </c>
      <c r="J886">
        <v>156</v>
      </c>
      <c r="K886">
        <v>146</v>
      </c>
      <c r="L886">
        <v>1</v>
      </c>
      <c r="M886">
        <v>2020</v>
      </c>
      <c r="N886">
        <v>5</v>
      </c>
      <c r="O886">
        <v>1</v>
      </c>
      <c r="P886">
        <v>2</v>
      </c>
      <c r="Q886" s="2" t="s">
        <v>17</v>
      </c>
    </row>
    <row r="887" spans="1:17" x14ac:dyDescent="0.3">
      <c r="A887" s="1">
        <v>43971</v>
      </c>
      <c r="B887" s="3">
        <v>165</v>
      </c>
      <c r="C887" s="3">
        <v>165</v>
      </c>
      <c r="D887" s="3">
        <v>164</v>
      </c>
      <c r="E887" s="3">
        <v>165</v>
      </c>
      <c r="F887" s="4">
        <v>10666100</v>
      </c>
      <c r="G887" s="3">
        <v>165</v>
      </c>
      <c r="H887">
        <v>0</v>
      </c>
      <c r="I887">
        <v>162</v>
      </c>
      <c r="J887">
        <v>156</v>
      </c>
      <c r="K887">
        <v>147</v>
      </c>
      <c r="L887">
        <v>1</v>
      </c>
      <c r="M887">
        <v>2020</v>
      </c>
      <c r="N887">
        <v>5</v>
      </c>
      <c r="O887">
        <v>2</v>
      </c>
      <c r="P887">
        <v>2</v>
      </c>
      <c r="Q887" s="2" t="s">
        <v>17</v>
      </c>
    </row>
    <row r="888" spans="1:17" x14ac:dyDescent="0.3">
      <c r="A888" s="1">
        <v>43972</v>
      </c>
      <c r="B888" s="3">
        <v>162</v>
      </c>
      <c r="C888" s="3">
        <v>164</v>
      </c>
      <c r="D888" s="3">
        <v>161</v>
      </c>
      <c r="E888" s="3">
        <v>163</v>
      </c>
      <c r="F888" s="4">
        <v>11791000</v>
      </c>
      <c r="G888" s="3">
        <v>162</v>
      </c>
      <c r="H888">
        <v>-1</v>
      </c>
      <c r="I888">
        <v>161</v>
      </c>
      <c r="J888">
        <v>156</v>
      </c>
      <c r="K888">
        <v>147</v>
      </c>
      <c r="L888">
        <v>1</v>
      </c>
      <c r="M888">
        <v>2020</v>
      </c>
      <c r="N888">
        <v>5</v>
      </c>
      <c r="O888">
        <v>3</v>
      </c>
      <c r="P888">
        <v>2</v>
      </c>
      <c r="Q888" s="2" t="s">
        <v>17</v>
      </c>
    </row>
    <row r="889" spans="1:17" x14ac:dyDescent="0.3">
      <c r="A889" s="1">
        <v>43973</v>
      </c>
      <c r="B889" s="3">
        <v>163</v>
      </c>
      <c r="C889" s="3">
        <v>163</v>
      </c>
      <c r="D889" s="3">
        <v>163</v>
      </c>
      <c r="E889" s="3">
        <v>163</v>
      </c>
      <c r="F889" s="4">
        <v>8540900</v>
      </c>
      <c r="G889" s="3">
        <v>163</v>
      </c>
      <c r="H889">
        <v>1</v>
      </c>
      <c r="I889">
        <v>161</v>
      </c>
      <c r="J889">
        <v>157</v>
      </c>
      <c r="K889">
        <v>147</v>
      </c>
      <c r="L889">
        <v>1</v>
      </c>
      <c r="M889">
        <v>2020</v>
      </c>
      <c r="N889">
        <v>5</v>
      </c>
      <c r="O889">
        <v>4</v>
      </c>
      <c r="P889">
        <v>2</v>
      </c>
      <c r="Q889" s="2" t="s">
        <v>17</v>
      </c>
    </row>
    <row r="890" spans="1:17" x14ac:dyDescent="0.3">
      <c r="A890" s="1">
        <v>43977</v>
      </c>
      <c r="B890" s="3">
        <v>161</v>
      </c>
      <c r="C890" s="3">
        <v>163</v>
      </c>
      <c r="D890" s="3">
        <v>161</v>
      </c>
      <c r="E890" s="3">
        <v>163</v>
      </c>
      <c r="F890" s="4">
        <v>13972000</v>
      </c>
      <c r="G890" s="3">
        <v>161</v>
      </c>
      <c r="H890">
        <v>-1</v>
      </c>
      <c r="I890">
        <v>161</v>
      </c>
      <c r="J890">
        <v>157</v>
      </c>
      <c r="K890">
        <v>147</v>
      </c>
      <c r="L890">
        <v>1</v>
      </c>
      <c r="M890">
        <v>2020</v>
      </c>
      <c r="N890">
        <v>5</v>
      </c>
      <c r="O890">
        <v>1</v>
      </c>
      <c r="P890">
        <v>2</v>
      </c>
      <c r="Q890" s="2" t="s">
        <v>17</v>
      </c>
    </row>
    <row r="891" spans="1:17" x14ac:dyDescent="0.3">
      <c r="A891" s="1">
        <v>43978</v>
      </c>
      <c r="B891" s="3">
        <v>161</v>
      </c>
      <c r="C891" s="3">
        <v>161</v>
      </c>
      <c r="D891" s="3">
        <v>159</v>
      </c>
      <c r="E891" s="3">
        <v>159</v>
      </c>
      <c r="F891" s="4">
        <v>13063500</v>
      </c>
      <c r="G891" s="3">
        <v>161</v>
      </c>
      <c r="H891">
        <v>0</v>
      </c>
      <c r="I891">
        <v>161</v>
      </c>
      <c r="J891">
        <v>157</v>
      </c>
      <c r="K891">
        <v>147</v>
      </c>
      <c r="L891">
        <v>1</v>
      </c>
      <c r="M891">
        <v>2020</v>
      </c>
      <c r="N891">
        <v>5</v>
      </c>
      <c r="O891">
        <v>2</v>
      </c>
      <c r="P891">
        <v>2</v>
      </c>
      <c r="Q891" s="2" t="s">
        <v>17</v>
      </c>
    </row>
    <row r="892" spans="1:17" x14ac:dyDescent="0.3">
      <c r="A892" s="1">
        <v>43979</v>
      </c>
      <c r="B892" s="3">
        <v>162</v>
      </c>
      <c r="C892" s="3">
        <v>162</v>
      </c>
      <c r="D892" s="3">
        <v>161</v>
      </c>
      <c r="E892" s="3">
        <v>162</v>
      </c>
      <c r="F892" s="4">
        <v>9758500</v>
      </c>
      <c r="G892" s="3">
        <v>162</v>
      </c>
      <c r="H892">
        <v>0</v>
      </c>
      <c r="I892">
        <v>161</v>
      </c>
      <c r="J892">
        <v>158</v>
      </c>
      <c r="K892">
        <v>147</v>
      </c>
      <c r="L892">
        <v>1</v>
      </c>
      <c r="M892">
        <v>2020</v>
      </c>
      <c r="N892">
        <v>5</v>
      </c>
      <c r="O892">
        <v>3</v>
      </c>
      <c r="P892">
        <v>2</v>
      </c>
      <c r="Q892" s="2" t="s">
        <v>17</v>
      </c>
    </row>
    <row r="893" spans="1:17" x14ac:dyDescent="0.3">
      <c r="A893" s="1">
        <v>43980</v>
      </c>
      <c r="B893" s="3">
        <v>163</v>
      </c>
      <c r="C893" s="3">
        <v>163</v>
      </c>
      <c r="D893" s="3">
        <v>162</v>
      </c>
      <c r="E893" s="3">
        <v>163</v>
      </c>
      <c r="F893" s="4">
        <v>12581800</v>
      </c>
      <c r="G893" s="3">
        <v>163</v>
      </c>
      <c r="H893">
        <v>1</v>
      </c>
      <c r="I893">
        <v>162</v>
      </c>
      <c r="J893">
        <v>158</v>
      </c>
      <c r="K893">
        <v>147</v>
      </c>
      <c r="L893">
        <v>1</v>
      </c>
      <c r="M893">
        <v>2020</v>
      </c>
      <c r="N893">
        <v>5</v>
      </c>
      <c r="O893">
        <v>4</v>
      </c>
      <c r="P893">
        <v>2</v>
      </c>
      <c r="Q893" s="2" t="s">
        <v>17</v>
      </c>
    </row>
    <row r="894" spans="1:17" x14ac:dyDescent="0.3">
      <c r="A894" s="1">
        <v>43983</v>
      </c>
      <c r="B894" s="3">
        <v>164</v>
      </c>
      <c r="C894" s="3">
        <v>164</v>
      </c>
      <c r="D894" s="3">
        <v>162</v>
      </c>
      <c r="E894" s="3">
        <v>163</v>
      </c>
      <c r="F894" s="4">
        <v>8140200</v>
      </c>
      <c r="G894" s="3">
        <v>164</v>
      </c>
      <c r="H894">
        <v>0</v>
      </c>
      <c r="I894">
        <v>162</v>
      </c>
      <c r="J894">
        <v>159</v>
      </c>
      <c r="K894">
        <v>147</v>
      </c>
      <c r="L894">
        <v>1</v>
      </c>
      <c r="M894">
        <v>2020</v>
      </c>
      <c r="N894">
        <v>6</v>
      </c>
      <c r="O894">
        <v>0</v>
      </c>
      <c r="P894">
        <v>2</v>
      </c>
      <c r="Q894" s="2" t="s">
        <v>17</v>
      </c>
    </row>
    <row r="895" spans="1:17" x14ac:dyDescent="0.3">
      <c r="A895" s="1">
        <v>43984</v>
      </c>
      <c r="B895" s="3">
        <v>163</v>
      </c>
      <c r="C895" s="3">
        <v>164</v>
      </c>
      <c r="D895" s="3">
        <v>162</v>
      </c>
      <c r="E895" s="3">
        <v>164</v>
      </c>
      <c r="F895" s="4">
        <v>10388900</v>
      </c>
      <c r="G895" s="3">
        <v>163</v>
      </c>
      <c r="H895">
        <v>-1</v>
      </c>
      <c r="I895">
        <v>162</v>
      </c>
      <c r="J895">
        <v>159</v>
      </c>
      <c r="K895">
        <v>147</v>
      </c>
      <c r="L895">
        <v>1</v>
      </c>
      <c r="M895">
        <v>2020</v>
      </c>
      <c r="N895">
        <v>6</v>
      </c>
      <c r="O895">
        <v>1</v>
      </c>
      <c r="P895">
        <v>2</v>
      </c>
      <c r="Q895" s="2" t="s">
        <v>17</v>
      </c>
    </row>
    <row r="896" spans="1:17" x14ac:dyDescent="0.3">
      <c r="A896" s="1">
        <v>43985</v>
      </c>
      <c r="B896" s="3">
        <v>160</v>
      </c>
      <c r="C896" s="3">
        <v>161</v>
      </c>
      <c r="D896" s="3">
        <v>159</v>
      </c>
      <c r="E896" s="3">
        <v>160</v>
      </c>
      <c r="F896" s="4">
        <v>17000500</v>
      </c>
      <c r="G896" s="3">
        <v>160</v>
      </c>
      <c r="H896">
        <v>-2</v>
      </c>
      <c r="I896">
        <v>162</v>
      </c>
      <c r="J896">
        <v>159</v>
      </c>
      <c r="K896">
        <v>148</v>
      </c>
      <c r="L896">
        <v>1</v>
      </c>
      <c r="M896">
        <v>2020</v>
      </c>
      <c r="N896">
        <v>6</v>
      </c>
      <c r="O896">
        <v>2</v>
      </c>
      <c r="P896">
        <v>2</v>
      </c>
      <c r="Q896" s="2" t="s">
        <v>17</v>
      </c>
    </row>
    <row r="897" spans="1:17" x14ac:dyDescent="0.3">
      <c r="A897" s="1">
        <v>43986</v>
      </c>
      <c r="B897" s="3">
        <v>161</v>
      </c>
      <c r="C897" s="3">
        <v>162</v>
      </c>
      <c r="D897" s="3">
        <v>160</v>
      </c>
      <c r="E897" s="3">
        <v>161</v>
      </c>
      <c r="F897" s="4">
        <v>10094000</v>
      </c>
      <c r="G897" s="3">
        <v>161</v>
      </c>
      <c r="H897">
        <v>1</v>
      </c>
      <c r="I897">
        <v>162</v>
      </c>
      <c r="J897">
        <v>159</v>
      </c>
      <c r="K897">
        <v>148</v>
      </c>
      <c r="L897">
        <v>1</v>
      </c>
      <c r="M897">
        <v>2020</v>
      </c>
      <c r="N897">
        <v>6</v>
      </c>
      <c r="O897">
        <v>3</v>
      </c>
      <c r="P897">
        <v>2</v>
      </c>
      <c r="Q897" s="2" t="s">
        <v>17</v>
      </c>
    </row>
    <row r="898" spans="1:17" x14ac:dyDescent="0.3">
      <c r="A898" s="1">
        <v>43987</v>
      </c>
      <c r="B898" s="3">
        <v>158</v>
      </c>
      <c r="C898" s="3">
        <v>159</v>
      </c>
      <c r="D898" s="3">
        <v>157</v>
      </c>
      <c r="E898" s="3">
        <v>159</v>
      </c>
      <c r="F898" s="4">
        <v>16021200</v>
      </c>
      <c r="G898" s="3">
        <v>158</v>
      </c>
      <c r="H898">
        <v>-2</v>
      </c>
      <c r="I898">
        <v>162</v>
      </c>
      <c r="J898">
        <v>160</v>
      </c>
      <c r="K898">
        <v>148</v>
      </c>
      <c r="L898">
        <v>1</v>
      </c>
      <c r="M898">
        <v>2020</v>
      </c>
      <c r="N898">
        <v>6</v>
      </c>
      <c r="O898">
        <v>4</v>
      </c>
      <c r="P898">
        <v>2</v>
      </c>
      <c r="Q898" s="2" t="s">
        <v>17</v>
      </c>
    </row>
    <row r="899" spans="1:17" x14ac:dyDescent="0.3">
      <c r="A899" s="1">
        <v>43990</v>
      </c>
      <c r="B899" s="3">
        <v>160</v>
      </c>
      <c r="C899" s="3">
        <v>160</v>
      </c>
      <c r="D899" s="3">
        <v>158</v>
      </c>
      <c r="E899" s="3">
        <v>159</v>
      </c>
      <c r="F899" s="4">
        <v>9244400</v>
      </c>
      <c r="G899" s="3">
        <v>160</v>
      </c>
      <c r="H899">
        <v>1</v>
      </c>
      <c r="I899">
        <v>162</v>
      </c>
      <c r="J899">
        <v>160</v>
      </c>
      <c r="K899">
        <v>148</v>
      </c>
      <c r="L899">
        <v>1</v>
      </c>
      <c r="M899">
        <v>2020</v>
      </c>
      <c r="N899">
        <v>6</v>
      </c>
      <c r="O899">
        <v>0</v>
      </c>
      <c r="P899">
        <v>2</v>
      </c>
      <c r="Q899" s="2" t="s">
        <v>17</v>
      </c>
    </row>
    <row r="900" spans="1:17" x14ac:dyDescent="0.3">
      <c r="A900" s="1">
        <v>43991</v>
      </c>
      <c r="B900" s="3">
        <v>161</v>
      </c>
      <c r="C900" s="3">
        <v>162</v>
      </c>
      <c r="D900" s="3">
        <v>161</v>
      </c>
      <c r="E900" s="3">
        <v>161</v>
      </c>
      <c r="F900" s="4">
        <v>9045600</v>
      </c>
      <c r="G900" s="3">
        <v>161</v>
      </c>
      <c r="H900">
        <v>1</v>
      </c>
      <c r="I900">
        <v>162</v>
      </c>
      <c r="J900">
        <v>160</v>
      </c>
      <c r="K900">
        <v>148</v>
      </c>
      <c r="L900">
        <v>1</v>
      </c>
      <c r="M900">
        <v>2020</v>
      </c>
      <c r="N900">
        <v>6</v>
      </c>
      <c r="O900">
        <v>1</v>
      </c>
      <c r="P900">
        <v>2</v>
      </c>
      <c r="Q900" s="2" t="s">
        <v>17</v>
      </c>
    </row>
    <row r="901" spans="1:17" x14ac:dyDescent="0.3">
      <c r="A901" s="1">
        <v>43992</v>
      </c>
      <c r="B901" s="3">
        <v>164</v>
      </c>
      <c r="C901" s="3">
        <v>164</v>
      </c>
      <c r="D901" s="3">
        <v>161</v>
      </c>
      <c r="E901" s="3">
        <v>162</v>
      </c>
      <c r="F901" s="4">
        <v>13009300</v>
      </c>
      <c r="G901" s="3">
        <v>164</v>
      </c>
      <c r="H901">
        <v>1</v>
      </c>
      <c r="I901">
        <v>162</v>
      </c>
      <c r="J901">
        <v>160</v>
      </c>
      <c r="K901">
        <v>148</v>
      </c>
      <c r="L901">
        <v>1</v>
      </c>
      <c r="M901">
        <v>2020</v>
      </c>
      <c r="N901">
        <v>6</v>
      </c>
      <c r="O901">
        <v>2</v>
      </c>
      <c r="P901">
        <v>2</v>
      </c>
      <c r="Q901" s="2" t="s">
        <v>17</v>
      </c>
    </row>
    <row r="902" spans="1:17" x14ac:dyDescent="0.3">
      <c r="A902" s="1">
        <v>43993</v>
      </c>
      <c r="B902" s="3">
        <v>162</v>
      </c>
      <c r="C902" s="3">
        <v>164</v>
      </c>
      <c r="D902" s="3">
        <v>162</v>
      </c>
      <c r="E902" s="3">
        <v>163</v>
      </c>
      <c r="F902" s="4">
        <v>11673900</v>
      </c>
      <c r="G902" s="3">
        <v>162</v>
      </c>
      <c r="H902">
        <v>-1</v>
      </c>
      <c r="I902">
        <v>162</v>
      </c>
      <c r="J902">
        <v>160</v>
      </c>
      <c r="K902">
        <v>148</v>
      </c>
      <c r="L902">
        <v>1</v>
      </c>
      <c r="M902">
        <v>2020</v>
      </c>
      <c r="N902">
        <v>6</v>
      </c>
      <c r="O902">
        <v>3</v>
      </c>
      <c r="P902">
        <v>2</v>
      </c>
      <c r="Q902" s="2" t="s">
        <v>17</v>
      </c>
    </row>
    <row r="903" spans="1:17" x14ac:dyDescent="0.3">
      <c r="A903" s="1">
        <v>43994</v>
      </c>
      <c r="B903" s="3">
        <v>163</v>
      </c>
      <c r="C903" s="3">
        <v>164</v>
      </c>
      <c r="D903" s="3">
        <v>163</v>
      </c>
      <c r="E903" s="3">
        <v>163</v>
      </c>
      <c r="F903" s="4">
        <v>6895400</v>
      </c>
      <c r="G903" s="3">
        <v>163</v>
      </c>
      <c r="H903">
        <v>0</v>
      </c>
      <c r="I903">
        <v>162</v>
      </c>
      <c r="J903">
        <v>161</v>
      </c>
      <c r="K903">
        <v>148</v>
      </c>
      <c r="L903">
        <v>1</v>
      </c>
      <c r="M903">
        <v>2020</v>
      </c>
      <c r="N903">
        <v>6</v>
      </c>
      <c r="O903">
        <v>4</v>
      </c>
      <c r="P903">
        <v>2</v>
      </c>
      <c r="Q903" s="2" t="s">
        <v>17</v>
      </c>
    </row>
    <row r="904" spans="1:17" x14ac:dyDescent="0.3">
      <c r="A904" s="1">
        <v>43997</v>
      </c>
      <c r="B904" s="3">
        <v>162</v>
      </c>
      <c r="C904" s="3">
        <v>163</v>
      </c>
      <c r="D904" s="3">
        <v>160</v>
      </c>
      <c r="E904" s="3">
        <v>161</v>
      </c>
      <c r="F904" s="4">
        <v>8532500</v>
      </c>
      <c r="G904" s="3">
        <v>162</v>
      </c>
      <c r="H904">
        <v>0</v>
      </c>
      <c r="I904">
        <v>162</v>
      </c>
      <c r="J904">
        <v>161</v>
      </c>
      <c r="K904">
        <v>148</v>
      </c>
      <c r="L904">
        <v>1</v>
      </c>
      <c r="M904">
        <v>2020</v>
      </c>
      <c r="N904">
        <v>6</v>
      </c>
      <c r="O904">
        <v>0</v>
      </c>
      <c r="P904">
        <v>2</v>
      </c>
      <c r="Q904" s="2" t="s">
        <v>17</v>
      </c>
    </row>
    <row r="905" spans="1:17" x14ac:dyDescent="0.3">
      <c r="A905" s="1">
        <v>43998</v>
      </c>
      <c r="B905" s="3">
        <v>162</v>
      </c>
      <c r="C905" s="3">
        <v>163</v>
      </c>
      <c r="D905" s="3">
        <v>161</v>
      </c>
      <c r="E905" s="3">
        <v>162</v>
      </c>
      <c r="F905" s="4">
        <v>7964000</v>
      </c>
      <c r="G905" s="3">
        <v>162</v>
      </c>
      <c r="H905">
        <v>0</v>
      </c>
      <c r="I905">
        <v>162</v>
      </c>
      <c r="J905">
        <v>161</v>
      </c>
      <c r="K905">
        <v>148</v>
      </c>
      <c r="L905">
        <v>1</v>
      </c>
      <c r="M905">
        <v>2020</v>
      </c>
      <c r="N905">
        <v>6</v>
      </c>
      <c r="O905">
        <v>1</v>
      </c>
      <c r="P905">
        <v>2</v>
      </c>
      <c r="Q905" s="2" t="s">
        <v>17</v>
      </c>
    </row>
    <row r="906" spans="1:17" x14ac:dyDescent="0.3">
      <c r="A906" s="1">
        <v>43999</v>
      </c>
      <c r="B906" s="3">
        <v>163</v>
      </c>
      <c r="C906" s="3">
        <v>163</v>
      </c>
      <c r="D906" s="3">
        <v>162</v>
      </c>
      <c r="E906" s="3">
        <v>162</v>
      </c>
      <c r="F906" s="4">
        <v>4758200</v>
      </c>
      <c r="G906" s="3">
        <v>163</v>
      </c>
      <c r="H906">
        <v>0</v>
      </c>
      <c r="I906">
        <v>162</v>
      </c>
      <c r="J906">
        <v>161</v>
      </c>
      <c r="K906">
        <v>148</v>
      </c>
      <c r="L906">
        <v>1</v>
      </c>
      <c r="M906">
        <v>2020</v>
      </c>
      <c r="N906">
        <v>6</v>
      </c>
      <c r="O906">
        <v>2</v>
      </c>
      <c r="P906">
        <v>2</v>
      </c>
      <c r="Q906" s="2" t="s">
        <v>17</v>
      </c>
    </row>
    <row r="907" spans="1:17" x14ac:dyDescent="0.3">
      <c r="A907" s="1">
        <v>44000</v>
      </c>
      <c r="B907" s="3">
        <v>162</v>
      </c>
      <c r="C907" s="3">
        <v>162</v>
      </c>
      <c r="D907" s="3">
        <v>161</v>
      </c>
      <c r="E907" s="3">
        <v>162</v>
      </c>
      <c r="F907" s="4">
        <v>5397600</v>
      </c>
      <c r="G907" s="3">
        <v>162</v>
      </c>
      <c r="H907">
        <v>0</v>
      </c>
      <c r="I907">
        <v>162</v>
      </c>
      <c r="J907">
        <v>161</v>
      </c>
      <c r="K907">
        <v>149</v>
      </c>
      <c r="L907">
        <v>1</v>
      </c>
      <c r="M907">
        <v>2020</v>
      </c>
      <c r="N907">
        <v>6</v>
      </c>
      <c r="O907">
        <v>3</v>
      </c>
      <c r="P907">
        <v>2</v>
      </c>
      <c r="Q907" s="2" t="s">
        <v>17</v>
      </c>
    </row>
    <row r="908" spans="1:17" x14ac:dyDescent="0.3">
      <c r="A908" s="1">
        <v>44001</v>
      </c>
      <c r="B908" s="3">
        <v>164</v>
      </c>
      <c r="C908" s="3">
        <v>164</v>
      </c>
      <c r="D908" s="3">
        <v>163</v>
      </c>
      <c r="E908" s="3">
        <v>163</v>
      </c>
      <c r="F908" s="4">
        <v>12187400</v>
      </c>
      <c r="G908" s="3">
        <v>164</v>
      </c>
      <c r="H908">
        <v>1</v>
      </c>
      <c r="I908">
        <v>162</v>
      </c>
      <c r="J908">
        <v>162</v>
      </c>
      <c r="K908">
        <v>149</v>
      </c>
      <c r="L908">
        <v>1</v>
      </c>
      <c r="M908">
        <v>2020</v>
      </c>
      <c r="N908">
        <v>6</v>
      </c>
      <c r="O908">
        <v>4</v>
      </c>
      <c r="P908">
        <v>2</v>
      </c>
      <c r="Q908" s="2" t="s">
        <v>17</v>
      </c>
    </row>
    <row r="909" spans="1:17" x14ac:dyDescent="0.3">
      <c r="A909" s="1">
        <v>44004</v>
      </c>
      <c r="B909" s="3">
        <v>165</v>
      </c>
      <c r="C909" s="3">
        <v>166</v>
      </c>
      <c r="D909" s="3">
        <v>164</v>
      </c>
      <c r="E909" s="3">
        <v>165</v>
      </c>
      <c r="F909" s="4">
        <v>12385600</v>
      </c>
      <c r="G909" s="3">
        <v>165</v>
      </c>
      <c r="H909">
        <v>1</v>
      </c>
      <c r="I909">
        <v>162</v>
      </c>
      <c r="J909">
        <v>162</v>
      </c>
      <c r="K909">
        <v>149</v>
      </c>
      <c r="L909">
        <v>1</v>
      </c>
      <c r="M909">
        <v>2020</v>
      </c>
      <c r="N909">
        <v>6</v>
      </c>
      <c r="O909">
        <v>0</v>
      </c>
      <c r="P909">
        <v>2</v>
      </c>
      <c r="Q909" s="2" t="s">
        <v>17</v>
      </c>
    </row>
    <row r="910" spans="1:17" x14ac:dyDescent="0.3">
      <c r="A910" s="1">
        <v>44005</v>
      </c>
      <c r="B910" s="3">
        <v>166</v>
      </c>
      <c r="C910" s="3">
        <v>167</v>
      </c>
      <c r="D910" s="3">
        <v>166</v>
      </c>
      <c r="E910" s="3">
        <v>166</v>
      </c>
      <c r="F910" s="4">
        <v>12137300</v>
      </c>
      <c r="G910" s="3">
        <v>166</v>
      </c>
      <c r="H910">
        <v>1</v>
      </c>
      <c r="I910">
        <v>162</v>
      </c>
      <c r="J910">
        <v>162</v>
      </c>
      <c r="K910">
        <v>149</v>
      </c>
      <c r="L910">
        <v>1</v>
      </c>
      <c r="M910">
        <v>2020</v>
      </c>
      <c r="N910">
        <v>6</v>
      </c>
      <c r="O910">
        <v>1</v>
      </c>
      <c r="P910">
        <v>2</v>
      </c>
      <c r="Q910" s="2" t="s">
        <v>17</v>
      </c>
    </row>
    <row r="911" spans="1:17" x14ac:dyDescent="0.3">
      <c r="A911" s="1">
        <v>44006</v>
      </c>
      <c r="B911" s="3">
        <v>166</v>
      </c>
      <c r="C911" s="3">
        <v>167</v>
      </c>
      <c r="D911" s="3">
        <v>165</v>
      </c>
      <c r="E911" s="3">
        <v>166</v>
      </c>
      <c r="F911" s="4">
        <v>10901400</v>
      </c>
      <c r="G911" s="3">
        <v>166</v>
      </c>
      <c r="H911">
        <v>0</v>
      </c>
      <c r="I911">
        <v>163</v>
      </c>
      <c r="J911">
        <v>162</v>
      </c>
      <c r="K911">
        <v>149</v>
      </c>
      <c r="L911">
        <v>1</v>
      </c>
      <c r="M911">
        <v>2020</v>
      </c>
      <c r="N911">
        <v>6</v>
      </c>
      <c r="O911">
        <v>2</v>
      </c>
      <c r="P911">
        <v>2</v>
      </c>
      <c r="Q911" s="2" t="s">
        <v>17</v>
      </c>
    </row>
    <row r="912" spans="1:17" x14ac:dyDescent="0.3">
      <c r="A912" s="1">
        <v>44007</v>
      </c>
      <c r="B912" s="3">
        <v>166</v>
      </c>
      <c r="C912" s="3">
        <v>166</v>
      </c>
      <c r="D912" s="3">
        <v>165</v>
      </c>
      <c r="E912" s="3">
        <v>166</v>
      </c>
      <c r="F912" s="4">
        <v>7093800</v>
      </c>
      <c r="G912" s="3">
        <v>166</v>
      </c>
      <c r="H912">
        <v>0</v>
      </c>
      <c r="I912">
        <v>163</v>
      </c>
      <c r="J912">
        <v>162</v>
      </c>
      <c r="K912">
        <v>149</v>
      </c>
      <c r="L912">
        <v>1</v>
      </c>
      <c r="M912">
        <v>2020</v>
      </c>
      <c r="N912">
        <v>6</v>
      </c>
      <c r="O912">
        <v>3</v>
      </c>
      <c r="P912">
        <v>2</v>
      </c>
      <c r="Q912" s="2" t="s">
        <v>17</v>
      </c>
    </row>
    <row r="913" spans="1:17" x14ac:dyDescent="0.3">
      <c r="A913" s="1">
        <v>44008</v>
      </c>
      <c r="B913" s="3">
        <v>167</v>
      </c>
      <c r="C913" s="3">
        <v>167</v>
      </c>
      <c r="D913" s="3">
        <v>164</v>
      </c>
      <c r="E913" s="3">
        <v>165</v>
      </c>
      <c r="F913" s="4">
        <v>9753500</v>
      </c>
      <c r="G913" s="3">
        <v>167</v>
      </c>
      <c r="H913">
        <v>0</v>
      </c>
      <c r="I913">
        <v>163</v>
      </c>
      <c r="J913">
        <v>162</v>
      </c>
      <c r="K913">
        <v>149</v>
      </c>
      <c r="L913">
        <v>1</v>
      </c>
      <c r="M913">
        <v>2020</v>
      </c>
      <c r="N913">
        <v>6</v>
      </c>
      <c r="O913">
        <v>4</v>
      </c>
      <c r="P913">
        <v>2</v>
      </c>
      <c r="Q913" s="2" t="s">
        <v>17</v>
      </c>
    </row>
    <row r="914" spans="1:17" x14ac:dyDescent="0.3">
      <c r="A914" s="1">
        <v>44011</v>
      </c>
      <c r="B914" s="3">
        <v>167</v>
      </c>
      <c r="C914" s="3">
        <v>167</v>
      </c>
      <c r="D914" s="3">
        <v>166</v>
      </c>
      <c r="E914" s="3">
        <v>167</v>
      </c>
      <c r="F914" s="4">
        <v>6735700</v>
      </c>
      <c r="G914" s="3">
        <v>167</v>
      </c>
      <c r="H914">
        <v>0</v>
      </c>
      <c r="I914">
        <v>163</v>
      </c>
      <c r="J914">
        <v>162</v>
      </c>
      <c r="K914">
        <v>149</v>
      </c>
      <c r="L914">
        <v>1</v>
      </c>
      <c r="M914">
        <v>2020</v>
      </c>
      <c r="N914">
        <v>6</v>
      </c>
      <c r="O914">
        <v>0</v>
      </c>
      <c r="P914">
        <v>2</v>
      </c>
      <c r="Q914" s="2" t="s">
        <v>17</v>
      </c>
    </row>
    <row r="915" spans="1:17" x14ac:dyDescent="0.3">
      <c r="A915" s="1">
        <v>44012</v>
      </c>
      <c r="B915" s="3">
        <v>167</v>
      </c>
      <c r="C915" s="3">
        <v>168</v>
      </c>
      <c r="D915" s="3">
        <v>166</v>
      </c>
      <c r="E915" s="3">
        <v>166</v>
      </c>
      <c r="F915" s="4">
        <v>12762300</v>
      </c>
      <c r="G915" s="3">
        <v>167</v>
      </c>
      <c r="H915">
        <v>0</v>
      </c>
      <c r="I915">
        <v>163</v>
      </c>
      <c r="J915">
        <v>162</v>
      </c>
      <c r="K915">
        <v>149</v>
      </c>
      <c r="L915">
        <v>1</v>
      </c>
      <c r="M915">
        <v>2020</v>
      </c>
      <c r="N915">
        <v>6</v>
      </c>
      <c r="O915">
        <v>1</v>
      </c>
      <c r="P915">
        <v>2</v>
      </c>
      <c r="Q915" s="2" t="s">
        <v>17</v>
      </c>
    </row>
    <row r="916" spans="1:17" x14ac:dyDescent="0.3">
      <c r="A916" s="1">
        <v>44013</v>
      </c>
      <c r="B916" s="3">
        <v>167</v>
      </c>
      <c r="C916" s="3">
        <v>167</v>
      </c>
      <c r="D916" s="3">
        <v>165</v>
      </c>
      <c r="E916" s="3">
        <v>167</v>
      </c>
      <c r="F916" s="4">
        <v>13214800</v>
      </c>
      <c r="G916" s="3">
        <v>167</v>
      </c>
      <c r="H916">
        <v>0</v>
      </c>
      <c r="I916">
        <v>164</v>
      </c>
      <c r="J916">
        <v>162</v>
      </c>
      <c r="K916">
        <v>150</v>
      </c>
      <c r="L916">
        <v>1</v>
      </c>
      <c r="M916">
        <v>2020</v>
      </c>
      <c r="N916">
        <v>7</v>
      </c>
      <c r="O916">
        <v>2</v>
      </c>
      <c r="P916">
        <v>3</v>
      </c>
      <c r="Q916" s="2" t="s">
        <v>17</v>
      </c>
    </row>
    <row r="917" spans="1:17" x14ac:dyDescent="0.3">
      <c r="A917" s="1">
        <v>44014</v>
      </c>
      <c r="B917" s="3">
        <v>167</v>
      </c>
      <c r="C917" s="3">
        <v>167</v>
      </c>
      <c r="D917" s="3">
        <v>166</v>
      </c>
      <c r="E917" s="3">
        <v>166</v>
      </c>
      <c r="F917" s="4">
        <v>8753500</v>
      </c>
      <c r="G917" s="3">
        <v>167</v>
      </c>
      <c r="H917">
        <v>0</v>
      </c>
      <c r="I917">
        <v>164</v>
      </c>
      <c r="J917">
        <v>163</v>
      </c>
      <c r="K917">
        <v>150</v>
      </c>
      <c r="L917">
        <v>1</v>
      </c>
      <c r="M917">
        <v>2020</v>
      </c>
      <c r="N917">
        <v>7</v>
      </c>
      <c r="O917">
        <v>3</v>
      </c>
      <c r="P917">
        <v>3</v>
      </c>
      <c r="Q917" s="2" t="s">
        <v>17</v>
      </c>
    </row>
    <row r="918" spans="1:17" x14ac:dyDescent="0.3">
      <c r="A918" s="1">
        <v>44018</v>
      </c>
      <c r="B918" s="3">
        <v>168</v>
      </c>
      <c r="C918" s="3">
        <v>168</v>
      </c>
      <c r="D918" s="3">
        <v>167</v>
      </c>
      <c r="E918" s="3">
        <v>168</v>
      </c>
      <c r="F918" s="4">
        <v>7265700</v>
      </c>
      <c r="G918" s="3">
        <v>168</v>
      </c>
      <c r="H918">
        <v>1</v>
      </c>
      <c r="I918">
        <v>164</v>
      </c>
      <c r="J918">
        <v>163</v>
      </c>
      <c r="K918">
        <v>150</v>
      </c>
      <c r="L918">
        <v>1</v>
      </c>
      <c r="M918">
        <v>2020</v>
      </c>
      <c r="N918">
        <v>7</v>
      </c>
      <c r="O918">
        <v>0</v>
      </c>
      <c r="P918">
        <v>3</v>
      </c>
      <c r="Q918" s="2" t="s">
        <v>17</v>
      </c>
    </row>
    <row r="919" spans="1:17" x14ac:dyDescent="0.3">
      <c r="A919" s="1">
        <v>44019</v>
      </c>
      <c r="B919" s="3">
        <v>169</v>
      </c>
      <c r="C919" s="3">
        <v>169</v>
      </c>
      <c r="D919" s="3">
        <v>167</v>
      </c>
      <c r="E919" s="3">
        <v>167</v>
      </c>
      <c r="F919" s="4">
        <v>11633100</v>
      </c>
      <c r="G919" s="3">
        <v>169</v>
      </c>
      <c r="H919">
        <v>1</v>
      </c>
      <c r="I919">
        <v>165</v>
      </c>
      <c r="J919">
        <v>163</v>
      </c>
      <c r="K919">
        <v>150</v>
      </c>
      <c r="L919">
        <v>1</v>
      </c>
      <c r="M919">
        <v>2020</v>
      </c>
      <c r="N919">
        <v>7</v>
      </c>
      <c r="O919">
        <v>1</v>
      </c>
      <c r="P919">
        <v>3</v>
      </c>
      <c r="Q919" s="2" t="s">
        <v>17</v>
      </c>
    </row>
    <row r="920" spans="1:17" x14ac:dyDescent="0.3">
      <c r="A920" s="1">
        <v>44020</v>
      </c>
      <c r="B920" s="3">
        <v>170</v>
      </c>
      <c r="C920" s="3">
        <v>171</v>
      </c>
      <c r="D920" s="3">
        <v>170</v>
      </c>
      <c r="E920" s="3">
        <v>170</v>
      </c>
      <c r="F920" s="4">
        <v>11662700</v>
      </c>
      <c r="G920" s="3">
        <v>170</v>
      </c>
      <c r="H920">
        <v>1</v>
      </c>
      <c r="I920">
        <v>165</v>
      </c>
      <c r="J920">
        <v>163</v>
      </c>
      <c r="K920">
        <v>150</v>
      </c>
      <c r="L920">
        <v>1</v>
      </c>
      <c r="M920">
        <v>2020</v>
      </c>
      <c r="N920">
        <v>7</v>
      </c>
      <c r="O920">
        <v>2</v>
      </c>
      <c r="P920">
        <v>3</v>
      </c>
      <c r="Q920" s="2" t="s">
        <v>17</v>
      </c>
    </row>
    <row r="921" spans="1:17" x14ac:dyDescent="0.3">
      <c r="A921" s="1">
        <v>44021</v>
      </c>
      <c r="B921" s="3">
        <v>170</v>
      </c>
      <c r="C921" s="3">
        <v>171</v>
      </c>
      <c r="D921" s="3">
        <v>169</v>
      </c>
      <c r="E921" s="3">
        <v>170</v>
      </c>
      <c r="F921" s="4">
        <v>13327400</v>
      </c>
      <c r="G921" s="3">
        <v>170</v>
      </c>
      <c r="H921">
        <v>0</v>
      </c>
      <c r="I921">
        <v>166</v>
      </c>
      <c r="J921">
        <v>163</v>
      </c>
      <c r="K921">
        <v>150</v>
      </c>
      <c r="L921">
        <v>0</v>
      </c>
      <c r="M921">
        <v>2020</v>
      </c>
      <c r="N921">
        <v>7</v>
      </c>
      <c r="O921">
        <v>3</v>
      </c>
      <c r="P921">
        <v>3</v>
      </c>
      <c r="Q921" s="2" t="s">
        <v>17</v>
      </c>
    </row>
    <row r="922" spans="1:17" x14ac:dyDescent="0.3">
      <c r="A922" s="1">
        <v>44022</v>
      </c>
      <c r="B922" s="3">
        <v>169</v>
      </c>
      <c r="C922" s="3">
        <v>170</v>
      </c>
      <c r="D922" s="3">
        <v>169</v>
      </c>
      <c r="E922" s="3">
        <v>170</v>
      </c>
      <c r="F922" s="4">
        <v>8218000</v>
      </c>
      <c r="G922" s="3">
        <v>169</v>
      </c>
      <c r="H922">
        <v>0</v>
      </c>
      <c r="I922">
        <v>166</v>
      </c>
      <c r="J922">
        <v>163</v>
      </c>
      <c r="K922">
        <v>150</v>
      </c>
      <c r="L922">
        <v>0</v>
      </c>
      <c r="M922">
        <v>2020</v>
      </c>
      <c r="N922">
        <v>7</v>
      </c>
      <c r="O922">
        <v>4</v>
      </c>
      <c r="P922">
        <v>3</v>
      </c>
      <c r="Q922" s="2" t="s">
        <v>17</v>
      </c>
    </row>
    <row r="923" spans="1:17" x14ac:dyDescent="0.3">
      <c r="A923" s="1">
        <v>44025</v>
      </c>
      <c r="B923" s="3">
        <v>169</v>
      </c>
      <c r="C923" s="3">
        <v>170</v>
      </c>
      <c r="D923" s="3">
        <v>169</v>
      </c>
      <c r="E923" s="3">
        <v>170</v>
      </c>
      <c r="F923" s="4">
        <v>11095900</v>
      </c>
      <c r="G923" s="3">
        <v>169</v>
      </c>
      <c r="H923">
        <v>0</v>
      </c>
      <c r="I923">
        <v>166</v>
      </c>
      <c r="J923">
        <v>163</v>
      </c>
      <c r="K923">
        <v>151</v>
      </c>
      <c r="L923">
        <v>0</v>
      </c>
      <c r="M923">
        <v>2020</v>
      </c>
      <c r="N923">
        <v>7</v>
      </c>
      <c r="O923">
        <v>0</v>
      </c>
      <c r="P923">
        <v>3</v>
      </c>
      <c r="Q923" s="2" t="s">
        <v>17</v>
      </c>
    </row>
    <row r="924" spans="1:17" x14ac:dyDescent="0.3">
      <c r="A924" s="1">
        <v>44026</v>
      </c>
      <c r="B924" s="3">
        <v>170</v>
      </c>
      <c r="C924" s="3">
        <v>170</v>
      </c>
      <c r="D924" s="3">
        <v>169</v>
      </c>
      <c r="E924" s="3">
        <v>169</v>
      </c>
      <c r="F924" s="4">
        <v>9812700</v>
      </c>
      <c r="G924" s="3">
        <v>170</v>
      </c>
      <c r="H924">
        <v>0</v>
      </c>
      <c r="I924">
        <v>167</v>
      </c>
      <c r="J924">
        <v>164</v>
      </c>
      <c r="K924">
        <v>151</v>
      </c>
      <c r="L924">
        <v>0</v>
      </c>
      <c r="M924">
        <v>2020</v>
      </c>
      <c r="N924">
        <v>7</v>
      </c>
      <c r="O924">
        <v>1</v>
      </c>
      <c r="P924">
        <v>3</v>
      </c>
      <c r="Q924" s="2" t="s">
        <v>17</v>
      </c>
    </row>
    <row r="925" spans="1:17" x14ac:dyDescent="0.3">
      <c r="A925" s="1">
        <v>44027</v>
      </c>
      <c r="B925" s="3">
        <v>170</v>
      </c>
      <c r="C925" s="3">
        <v>170</v>
      </c>
      <c r="D925" s="3">
        <v>169</v>
      </c>
      <c r="E925" s="3">
        <v>170</v>
      </c>
      <c r="F925" s="4">
        <v>7533800</v>
      </c>
      <c r="G925" s="3">
        <v>170</v>
      </c>
      <c r="H925">
        <v>0</v>
      </c>
      <c r="I925">
        <v>167</v>
      </c>
      <c r="J925">
        <v>164</v>
      </c>
      <c r="K925">
        <v>151</v>
      </c>
      <c r="L925">
        <v>0</v>
      </c>
      <c r="M925">
        <v>2020</v>
      </c>
      <c r="N925">
        <v>7</v>
      </c>
      <c r="O925">
        <v>2</v>
      </c>
      <c r="P925">
        <v>3</v>
      </c>
      <c r="Q925" s="2" t="s">
        <v>17</v>
      </c>
    </row>
    <row r="926" spans="1:17" x14ac:dyDescent="0.3">
      <c r="A926" s="1">
        <v>44028</v>
      </c>
      <c r="B926" s="3">
        <v>169</v>
      </c>
      <c r="C926" s="3">
        <v>170</v>
      </c>
      <c r="D926" s="3">
        <v>169</v>
      </c>
      <c r="E926" s="3">
        <v>170</v>
      </c>
      <c r="F926" s="4">
        <v>10242400</v>
      </c>
      <c r="G926" s="3">
        <v>169</v>
      </c>
      <c r="H926">
        <v>-1</v>
      </c>
      <c r="I926">
        <v>167</v>
      </c>
      <c r="J926">
        <v>164</v>
      </c>
      <c r="K926">
        <v>151</v>
      </c>
      <c r="L926">
        <v>1</v>
      </c>
      <c r="M926">
        <v>2020</v>
      </c>
      <c r="N926">
        <v>7</v>
      </c>
      <c r="O926">
        <v>3</v>
      </c>
      <c r="P926">
        <v>3</v>
      </c>
      <c r="Q926" s="2" t="s">
        <v>17</v>
      </c>
    </row>
    <row r="927" spans="1:17" x14ac:dyDescent="0.3">
      <c r="A927" s="1">
        <v>44029</v>
      </c>
      <c r="B927" s="3">
        <v>170</v>
      </c>
      <c r="C927" s="3">
        <v>170</v>
      </c>
      <c r="D927" s="3">
        <v>170</v>
      </c>
      <c r="E927" s="3">
        <v>170</v>
      </c>
      <c r="F927" s="4">
        <v>10296000</v>
      </c>
      <c r="G927" s="3">
        <v>170</v>
      </c>
      <c r="H927">
        <v>1</v>
      </c>
      <c r="I927">
        <v>168</v>
      </c>
      <c r="J927">
        <v>164</v>
      </c>
      <c r="K927">
        <v>151</v>
      </c>
      <c r="L927">
        <v>1</v>
      </c>
      <c r="M927">
        <v>2020</v>
      </c>
      <c r="N927">
        <v>7</v>
      </c>
      <c r="O927">
        <v>4</v>
      </c>
      <c r="P927">
        <v>3</v>
      </c>
      <c r="Q927" s="2" t="s">
        <v>17</v>
      </c>
    </row>
    <row r="928" spans="1:17" x14ac:dyDescent="0.3">
      <c r="A928" s="1">
        <v>44032</v>
      </c>
      <c r="B928" s="3">
        <v>171</v>
      </c>
      <c r="C928" s="3">
        <v>171</v>
      </c>
      <c r="D928" s="3">
        <v>170</v>
      </c>
      <c r="E928" s="3">
        <v>171</v>
      </c>
      <c r="F928" s="4">
        <v>10095500</v>
      </c>
      <c r="G928" s="3">
        <v>171</v>
      </c>
      <c r="H928">
        <v>0</v>
      </c>
      <c r="I928">
        <v>168</v>
      </c>
      <c r="J928">
        <v>164</v>
      </c>
      <c r="K928">
        <v>151</v>
      </c>
      <c r="L928">
        <v>0</v>
      </c>
      <c r="M928">
        <v>2020</v>
      </c>
      <c r="N928">
        <v>7</v>
      </c>
      <c r="O928">
        <v>0</v>
      </c>
      <c r="P928">
        <v>3</v>
      </c>
      <c r="Q928" s="2" t="s">
        <v>17</v>
      </c>
    </row>
    <row r="929" spans="1:17" x14ac:dyDescent="0.3">
      <c r="A929" s="1">
        <v>44033</v>
      </c>
      <c r="B929" s="3">
        <v>173</v>
      </c>
      <c r="C929" s="3">
        <v>173</v>
      </c>
      <c r="D929" s="3">
        <v>172</v>
      </c>
      <c r="E929" s="3">
        <v>173</v>
      </c>
      <c r="F929" s="4">
        <v>12826100</v>
      </c>
      <c r="G929" s="3">
        <v>173</v>
      </c>
      <c r="H929">
        <v>1</v>
      </c>
      <c r="I929">
        <v>169</v>
      </c>
      <c r="J929">
        <v>165</v>
      </c>
      <c r="K929">
        <v>151</v>
      </c>
      <c r="L929">
        <v>1</v>
      </c>
      <c r="M929">
        <v>2020</v>
      </c>
      <c r="N929">
        <v>7</v>
      </c>
      <c r="O929">
        <v>1</v>
      </c>
      <c r="P929">
        <v>3</v>
      </c>
      <c r="Q929" s="2" t="s">
        <v>17</v>
      </c>
    </row>
    <row r="930" spans="1:17" x14ac:dyDescent="0.3">
      <c r="A930" s="1">
        <v>44034</v>
      </c>
      <c r="B930" s="3">
        <v>176</v>
      </c>
      <c r="C930" s="3">
        <v>176</v>
      </c>
      <c r="D930" s="3">
        <v>174</v>
      </c>
      <c r="E930" s="3">
        <v>174</v>
      </c>
      <c r="F930" s="4">
        <v>18712500</v>
      </c>
      <c r="G930" s="3">
        <v>176</v>
      </c>
      <c r="H930">
        <v>2</v>
      </c>
      <c r="I930">
        <v>169</v>
      </c>
      <c r="J930">
        <v>165</v>
      </c>
      <c r="K930">
        <v>152</v>
      </c>
      <c r="L930">
        <v>1</v>
      </c>
      <c r="M930">
        <v>2020</v>
      </c>
      <c r="N930">
        <v>7</v>
      </c>
      <c r="O930">
        <v>2</v>
      </c>
      <c r="P930">
        <v>3</v>
      </c>
      <c r="Q930" s="2" t="s">
        <v>17</v>
      </c>
    </row>
    <row r="931" spans="1:17" x14ac:dyDescent="0.3">
      <c r="A931" s="1">
        <v>44035</v>
      </c>
      <c r="B931" s="3">
        <v>177</v>
      </c>
      <c r="C931" s="3">
        <v>178</v>
      </c>
      <c r="D931" s="3">
        <v>176</v>
      </c>
      <c r="E931" s="3">
        <v>176</v>
      </c>
      <c r="F931" s="4">
        <v>23006800</v>
      </c>
      <c r="G931" s="3">
        <v>177</v>
      </c>
      <c r="H931">
        <v>1</v>
      </c>
      <c r="I931">
        <v>170</v>
      </c>
      <c r="J931">
        <v>165</v>
      </c>
      <c r="K931">
        <v>152</v>
      </c>
      <c r="L931">
        <v>1</v>
      </c>
      <c r="M931">
        <v>2020</v>
      </c>
      <c r="N931">
        <v>7</v>
      </c>
      <c r="O931">
        <v>3</v>
      </c>
      <c r="P931">
        <v>3</v>
      </c>
      <c r="Q931" s="2" t="s">
        <v>17</v>
      </c>
    </row>
    <row r="932" spans="1:17" x14ac:dyDescent="0.3">
      <c r="A932" s="1">
        <v>44036</v>
      </c>
      <c r="B932" s="3">
        <v>179</v>
      </c>
      <c r="C932" s="3">
        <v>179</v>
      </c>
      <c r="D932" s="3">
        <v>178</v>
      </c>
      <c r="E932" s="3">
        <v>179</v>
      </c>
      <c r="F932" s="4">
        <v>15601300</v>
      </c>
      <c r="G932" s="3">
        <v>179</v>
      </c>
      <c r="H932">
        <v>1</v>
      </c>
      <c r="I932">
        <v>170</v>
      </c>
      <c r="J932">
        <v>166</v>
      </c>
      <c r="K932">
        <v>152</v>
      </c>
      <c r="L932">
        <v>1</v>
      </c>
      <c r="M932">
        <v>2020</v>
      </c>
      <c r="N932">
        <v>7</v>
      </c>
      <c r="O932">
        <v>4</v>
      </c>
      <c r="P932">
        <v>3</v>
      </c>
      <c r="Q932" s="2" t="s">
        <v>17</v>
      </c>
    </row>
    <row r="933" spans="1:17" x14ac:dyDescent="0.3">
      <c r="A933" s="1">
        <v>44039</v>
      </c>
      <c r="B933" s="3">
        <v>182</v>
      </c>
      <c r="C933" s="3">
        <v>183</v>
      </c>
      <c r="D933" s="3">
        <v>182</v>
      </c>
      <c r="E933" s="3">
        <v>182</v>
      </c>
      <c r="F933" s="4">
        <v>21115600</v>
      </c>
      <c r="G933" s="3">
        <v>182</v>
      </c>
      <c r="H933">
        <v>2</v>
      </c>
      <c r="I933">
        <v>171</v>
      </c>
      <c r="J933">
        <v>166</v>
      </c>
      <c r="K933">
        <v>152</v>
      </c>
      <c r="L933">
        <v>1</v>
      </c>
      <c r="M933">
        <v>2020</v>
      </c>
      <c r="N933">
        <v>7</v>
      </c>
      <c r="O933">
        <v>0</v>
      </c>
      <c r="P933">
        <v>3</v>
      </c>
      <c r="Q933" s="2" t="s">
        <v>17</v>
      </c>
    </row>
    <row r="934" spans="1:17" x14ac:dyDescent="0.3">
      <c r="A934" s="1">
        <v>44040</v>
      </c>
      <c r="B934" s="3">
        <v>184</v>
      </c>
      <c r="C934" s="3">
        <v>184</v>
      </c>
      <c r="D934" s="3">
        <v>181</v>
      </c>
      <c r="E934" s="3">
        <v>182</v>
      </c>
      <c r="F934" s="4">
        <v>21164600</v>
      </c>
      <c r="G934" s="3">
        <v>184</v>
      </c>
      <c r="H934">
        <v>1</v>
      </c>
      <c r="I934">
        <v>172</v>
      </c>
      <c r="J934">
        <v>167</v>
      </c>
      <c r="K934">
        <v>152</v>
      </c>
      <c r="L934">
        <v>1</v>
      </c>
      <c r="M934">
        <v>2020</v>
      </c>
      <c r="N934">
        <v>7</v>
      </c>
      <c r="O934">
        <v>1</v>
      </c>
      <c r="P934">
        <v>3</v>
      </c>
      <c r="Q934" s="2" t="s">
        <v>17</v>
      </c>
    </row>
    <row r="935" spans="1:17" x14ac:dyDescent="0.3">
      <c r="A935" s="1">
        <v>44041</v>
      </c>
      <c r="B935" s="3">
        <v>185</v>
      </c>
      <c r="C935" s="3">
        <v>186</v>
      </c>
      <c r="D935" s="3">
        <v>182</v>
      </c>
      <c r="E935" s="3">
        <v>184</v>
      </c>
      <c r="F935" s="4">
        <v>25640100</v>
      </c>
      <c r="G935" s="3">
        <v>185</v>
      </c>
      <c r="H935">
        <v>1</v>
      </c>
      <c r="I935">
        <v>173</v>
      </c>
      <c r="J935">
        <v>167</v>
      </c>
      <c r="K935">
        <v>153</v>
      </c>
      <c r="L935">
        <v>1</v>
      </c>
      <c r="M935">
        <v>2020</v>
      </c>
      <c r="N935">
        <v>7</v>
      </c>
      <c r="O935">
        <v>2</v>
      </c>
      <c r="P935">
        <v>3</v>
      </c>
      <c r="Q935" s="2" t="s">
        <v>17</v>
      </c>
    </row>
    <row r="936" spans="1:17" x14ac:dyDescent="0.3">
      <c r="A936" s="1">
        <v>44042</v>
      </c>
      <c r="B936" s="3">
        <v>184</v>
      </c>
      <c r="C936" s="3">
        <v>184</v>
      </c>
      <c r="D936" s="3">
        <v>182</v>
      </c>
      <c r="E936" s="3">
        <v>183</v>
      </c>
      <c r="F936" s="4">
        <v>18061200</v>
      </c>
      <c r="G936" s="3">
        <v>184</v>
      </c>
      <c r="H936">
        <v>-1</v>
      </c>
      <c r="I936">
        <v>174</v>
      </c>
      <c r="J936">
        <v>167</v>
      </c>
      <c r="K936">
        <v>153</v>
      </c>
      <c r="L936">
        <v>1</v>
      </c>
      <c r="M936">
        <v>2020</v>
      </c>
      <c r="N936">
        <v>7</v>
      </c>
      <c r="O936">
        <v>3</v>
      </c>
      <c r="P936">
        <v>3</v>
      </c>
      <c r="Q936" s="2" t="s">
        <v>17</v>
      </c>
    </row>
    <row r="937" spans="1:17" x14ac:dyDescent="0.3">
      <c r="A937" s="1">
        <v>44043</v>
      </c>
      <c r="B937" s="3">
        <v>185</v>
      </c>
      <c r="C937" s="3">
        <v>186</v>
      </c>
      <c r="D937" s="3">
        <v>184</v>
      </c>
      <c r="E937" s="3">
        <v>185</v>
      </c>
      <c r="F937" s="4">
        <v>15876700</v>
      </c>
      <c r="G937" s="3">
        <v>185</v>
      </c>
      <c r="H937">
        <v>1</v>
      </c>
      <c r="I937">
        <v>175</v>
      </c>
      <c r="J937">
        <v>168</v>
      </c>
      <c r="K937">
        <v>153</v>
      </c>
      <c r="L937">
        <v>1</v>
      </c>
      <c r="M937">
        <v>2020</v>
      </c>
      <c r="N937">
        <v>7</v>
      </c>
      <c r="O937">
        <v>4</v>
      </c>
      <c r="P937">
        <v>3</v>
      </c>
      <c r="Q937" s="2" t="s">
        <v>17</v>
      </c>
    </row>
    <row r="938" spans="1:17" x14ac:dyDescent="0.3">
      <c r="A938" s="1">
        <v>44046</v>
      </c>
      <c r="B938" s="3">
        <v>186</v>
      </c>
      <c r="C938" s="3">
        <v>186</v>
      </c>
      <c r="D938" s="3">
        <v>184</v>
      </c>
      <c r="E938" s="3">
        <v>185</v>
      </c>
      <c r="F938" s="4">
        <v>12897000</v>
      </c>
      <c r="G938" s="3">
        <v>186</v>
      </c>
      <c r="H938">
        <v>0</v>
      </c>
      <c r="I938">
        <v>175</v>
      </c>
      <c r="J938">
        <v>168</v>
      </c>
      <c r="K938">
        <v>153</v>
      </c>
      <c r="L938">
        <v>1</v>
      </c>
      <c r="M938">
        <v>2020</v>
      </c>
      <c r="N938">
        <v>8</v>
      </c>
      <c r="O938">
        <v>0</v>
      </c>
      <c r="P938">
        <v>3</v>
      </c>
      <c r="Q938" s="2" t="s">
        <v>17</v>
      </c>
    </row>
    <row r="939" spans="1:17" x14ac:dyDescent="0.3">
      <c r="A939" s="1">
        <v>44047</v>
      </c>
      <c r="B939" s="3">
        <v>190</v>
      </c>
      <c r="C939" s="3">
        <v>190</v>
      </c>
      <c r="D939" s="3">
        <v>185</v>
      </c>
      <c r="E939" s="3">
        <v>186</v>
      </c>
      <c r="F939" s="4">
        <v>20773200</v>
      </c>
      <c r="G939" s="3">
        <v>190</v>
      </c>
      <c r="H939">
        <v>2</v>
      </c>
      <c r="I939">
        <v>176</v>
      </c>
      <c r="J939">
        <v>169</v>
      </c>
      <c r="K939">
        <v>154</v>
      </c>
      <c r="L939">
        <v>1</v>
      </c>
      <c r="M939">
        <v>2020</v>
      </c>
      <c r="N939">
        <v>8</v>
      </c>
      <c r="O939">
        <v>1</v>
      </c>
      <c r="P939">
        <v>3</v>
      </c>
      <c r="Q939" s="2" t="s">
        <v>17</v>
      </c>
    </row>
    <row r="940" spans="1:17" x14ac:dyDescent="0.3">
      <c r="A940" s="1">
        <v>44048</v>
      </c>
      <c r="B940" s="3">
        <v>191</v>
      </c>
      <c r="C940" s="3">
        <v>193</v>
      </c>
      <c r="D940" s="3">
        <v>191</v>
      </c>
      <c r="E940" s="3">
        <v>192</v>
      </c>
      <c r="F940" s="4">
        <v>27078100</v>
      </c>
      <c r="G940" s="3">
        <v>191</v>
      </c>
      <c r="H940">
        <v>1</v>
      </c>
      <c r="I940">
        <v>177</v>
      </c>
      <c r="J940">
        <v>169</v>
      </c>
      <c r="K940">
        <v>154</v>
      </c>
      <c r="L940">
        <v>1</v>
      </c>
      <c r="M940">
        <v>2020</v>
      </c>
      <c r="N940">
        <v>8</v>
      </c>
      <c r="O940">
        <v>2</v>
      </c>
      <c r="P940">
        <v>3</v>
      </c>
      <c r="Q940" s="2" t="s">
        <v>17</v>
      </c>
    </row>
    <row r="941" spans="1:17" x14ac:dyDescent="0.3">
      <c r="A941" s="1">
        <v>44049</v>
      </c>
      <c r="B941" s="3">
        <v>194</v>
      </c>
      <c r="C941" s="3">
        <v>194</v>
      </c>
      <c r="D941" s="3">
        <v>193</v>
      </c>
      <c r="E941" s="3">
        <v>194</v>
      </c>
      <c r="F941" s="4">
        <v>20640100</v>
      </c>
      <c r="G941" s="3">
        <v>194</v>
      </c>
      <c r="H941">
        <v>1</v>
      </c>
      <c r="I941">
        <v>179</v>
      </c>
      <c r="J941">
        <v>170</v>
      </c>
      <c r="K941">
        <v>154</v>
      </c>
      <c r="L941">
        <v>1</v>
      </c>
      <c r="M941">
        <v>2020</v>
      </c>
      <c r="N941">
        <v>8</v>
      </c>
      <c r="O941">
        <v>3</v>
      </c>
      <c r="P941">
        <v>3</v>
      </c>
      <c r="Q941" s="2" t="s">
        <v>17</v>
      </c>
    </row>
    <row r="942" spans="1:17" x14ac:dyDescent="0.3">
      <c r="A942" s="1">
        <v>44050</v>
      </c>
      <c r="B942" s="3">
        <v>191</v>
      </c>
      <c r="C942" s="3">
        <v>193</v>
      </c>
      <c r="D942" s="3">
        <v>189</v>
      </c>
      <c r="E942" s="3">
        <v>193</v>
      </c>
      <c r="F942" s="4">
        <v>24570200</v>
      </c>
      <c r="G942" s="3">
        <v>191</v>
      </c>
      <c r="H942">
        <v>-2</v>
      </c>
      <c r="I942">
        <v>180</v>
      </c>
      <c r="J942">
        <v>171</v>
      </c>
      <c r="K942">
        <v>154</v>
      </c>
      <c r="L942">
        <v>1</v>
      </c>
      <c r="M942">
        <v>2020</v>
      </c>
      <c r="N942">
        <v>8</v>
      </c>
      <c r="O942">
        <v>4</v>
      </c>
      <c r="P942">
        <v>3</v>
      </c>
      <c r="Q942" s="2" t="s">
        <v>17</v>
      </c>
    </row>
    <row r="943" spans="1:17" x14ac:dyDescent="0.3">
      <c r="A943" s="1">
        <v>44053</v>
      </c>
      <c r="B943" s="3">
        <v>190</v>
      </c>
      <c r="C943" s="3">
        <v>193</v>
      </c>
      <c r="D943" s="3">
        <v>190</v>
      </c>
      <c r="E943" s="3">
        <v>191</v>
      </c>
      <c r="F943" s="4">
        <v>19047200</v>
      </c>
      <c r="G943" s="3">
        <v>190</v>
      </c>
      <c r="H943">
        <v>0</v>
      </c>
      <c r="I943">
        <v>181</v>
      </c>
      <c r="J943">
        <v>171</v>
      </c>
      <c r="K943">
        <v>155</v>
      </c>
      <c r="L943">
        <v>1</v>
      </c>
      <c r="M943">
        <v>2020</v>
      </c>
      <c r="N943">
        <v>8</v>
      </c>
      <c r="O943">
        <v>0</v>
      </c>
      <c r="P943">
        <v>3</v>
      </c>
      <c r="Q943" s="2" t="s">
        <v>17</v>
      </c>
    </row>
    <row r="944" spans="1:17" x14ac:dyDescent="0.3">
      <c r="A944" s="1">
        <v>44054</v>
      </c>
      <c r="B944" s="3">
        <v>180</v>
      </c>
      <c r="C944" s="3">
        <v>184</v>
      </c>
      <c r="D944" s="3">
        <v>179</v>
      </c>
      <c r="E944" s="3">
        <v>184</v>
      </c>
      <c r="F944" s="4">
        <v>45355000</v>
      </c>
      <c r="G944" s="3">
        <v>180</v>
      </c>
      <c r="H944">
        <v>-5</v>
      </c>
      <c r="I944">
        <v>181</v>
      </c>
      <c r="J944">
        <v>171</v>
      </c>
      <c r="K944">
        <v>155</v>
      </c>
      <c r="L944">
        <v>2</v>
      </c>
      <c r="M944">
        <v>2020</v>
      </c>
      <c r="N944">
        <v>8</v>
      </c>
      <c r="O944">
        <v>1</v>
      </c>
      <c r="P944">
        <v>3</v>
      </c>
      <c r="Q944" s="2" t="s">
        <v>17</v>
      </c>
    </row>
    <row r="945" spans="1:17" x14ac:dyDescent="0.3">
      <c r="A945" s="1">
        <v>44055</v>
      </c>
      <c r="B945" s="3">
        <v>179</v>
      </c>
      <c r="C945" s="3">
        <v>183</v>
      </c>
      <c r="D945" s="3">
        <v>179</v>
      </c>
      <c r="E945" s="3">
        <v>183</v>
      </c>
      <c r="F945" s="4">
        <v>28660500</v>
      </c>
      <c r="G945" s="3">
        <v>179</v>
      </c>
      <c r="H945">
        <v>0</v>
      </c>
      <c r="I945">
        <v>182</v>
      </c>
      <c r="J945">
        <v>172</v>
      </c>
      <c r="K945">
        <v>155</v>
      </c>
      <c r="L945">
        <v>2</v>
      </c>
      <c r="M945">
        <v>2020</v>
      </c>
      <c r="N945">
        <v>8</v>
      </c>
      <c r="O945">
        <v>2</v>
      </c>
      <c r="P945">
        <v>3</v>
      </c>
      <c r="Q945" s="2" t="s">
        <v>17</v>
      </c>
    </row>
    <row r="946" spans="1:17" x14ac:dyDescent="0.3">
      <c r="A946" s="1">
        <v>44056</v>
      </c>
      <c r="B946" s="3">
        <v>183</v>
      </c>
      <c r="C946" s="3">
        <v>185</v>
      </c>
      <c r="D946" s="3">
        <v>181</v>
      </c>
      <c r="E946" s="3">
        <v>182</v>
      </c>
      <c r="F946" s="4">
        <v>18596800</v>
      </c>
      <c r="G946" s="3">
        <v>183</v>
      </c>
      <c r="H946">
        <v>2</v>
      </c>
      <c r="I946">
        <v>182</v>
      </c>
      <c r="J946">
        <v>172</v>
      </c>
      <c r="K946">
        <v>155</v>
      </c>
      <c r="L946">
        <v>2</v>
      </c>
      <c r="M946">
        <v>2020</v>
      </c>
      <c r="N946">
        <v>8</v>
      </c>
      <c r="O946">
        <v>3</v>
      </c>
      <c r="P946">
        <v>3</v>
      </c>
      <c r="Q946" s="2" t="s">
        <v>17</v>
      </c>
    </row>
    <row r="947" spans="1:17" x14ac:dyDescent="0.3">
      <c r="A947" s="1">
        <v>44057</v>
      </c>
      <c r="B947" s="3">
        <v>183</v>
      </c>
      <c r="C947" s="3">
        <v>184</v>
      </c>
      <c r="D947" s="3">
        <v>181</v>
      </c>
      <c r="E947" s="3">
        <v>183</v>
      </c>
      <c r="F947" s="4">
        <v>11792000</v>
      </c>
      <c r="G947" s="3">
        <v>183</v>
      </c>
      <c r="H947">
        <v>0</v>
      </c>
      <c r="I947">
        <v>183</v>
      </c>
      <c r="J947">
        <v>173</v>
      </c>
      <c r="K947">
        <v>155</v>
      </c>
      <c r="L947">
        <v>2</v>
      </c>
      <c r="M947">
        <v>2020</v>
      </c>
      <c r="N947">
        <v>8</v>
      </c>
      <c r="O947">
        <v>4</v>
      </c>
      <c r="P947">
        <v>3</v>
      </c>
      <c r="Q947" s="2" t="s">
        <v>17</v>
      </c>
    </row>
    <row r="948" spans="1:17" x14ac:dyDescent="0.3">
      <c r="A948" s="1">
        <v>44060</v>
      </c>
      <c r="B948" s="3">
        <v>187</v>
      </c>
      <c r="C948" s="3">
        <v>187</v>
      </c>
      <c r="D948" s="3">
        <v>185</v>
      </c>
      <c r="E948" s="3">
        <v>185</v>
      </c>
      <c r="F948" s="4">
        <v>15709800</v>
      </c>
      <c r="G948" s="3">
        <v>187</v>
      </c>
      <c r="H948">
        <v>2</v>
      </c>
      <c r="I948">
        <v>184</v>
      </c>
      <c r="J948">
        <v>173</v>
      </c>
      <c r="K948">
        <v>156</v>
      </c>
      <c r="L948">
        <v>2</v>
      </c>
      <c r="M948">
        <v>2020</v>
      </c>
      <c r="N948">
        <v>8</v>
      </c>
      <c r="O948">
        <v>0</v>
      </c>
      <c r="P948">
        <v>3</v>
      </c>
      <c r="Q948" s="2" t="s">
        <v>17</v>
      </c>
    </row>
    <row r="949" spans="1:17" x14ac:dyDescent="0.3">
      <c r="A949" s="1">
        <v>44061</v>
      </c>
      <c r="B949" s="3">
        <v>188</v>
      </c>
      <c r="C949" s="3">
        <v>189</v>
      </c>
      <c r="D949" s="3">
        <v>186</v>
      </c>
      <c r="E949" s="3">
        <v>189</v>
      </c>
      <c r="F949" s="4">
        <v>16291600</v>
      </c>
      <c r="G949" s="3">
        <v>188</v>
      </c>
      <c r="H949">
        <v>1</v>
      </c>
      <c r="I949">
        <v>185</v>
      </c>
      <c r="J949">
        <v>174</v>
      </c>
      <c r="K949">
        <v>156</v>
      </c>
      <c r="L949">
        <v>2</v>
      </c>
      <c r="M949">
        <v>2020</v>
      </c>
      <c r="N949">
        <v>8</v>
      </c>
      <c r="O949">
        <v>1</v>
      </c>
      <c r="P949">
        <v>3</v>
      </c>
      <c r="Q949" s="2" t="s">
        <v>17</v>
      </c>
    </row>
    <row r="950" spans="1:17" x14ac:dyDescent="0.3">
      <c r="A950" s="1">
        <v>44062</v>
      </c>
      <c r="B950" s="3">
        <v>182</v>
      </c>
      <c r="C950" s="3">
        <v>187</v>
      </c>
      <c r="D950" s="3">
        <v>182</v>
      </c>
      <c r="E950" s="3">
        <v>187</v>
      </c>
      <c r="F950" s="4">
        <v>24646900</v>
      </c>
      <c r="G950" s="3">
        <v>182</v>
      </c>
      <c r="H950">
        <v>-3</v>
      </c>
      <c r="I950">
        <v>185</v>
      </c>
      <c r="J950">
        <v>174</v>
      </c>
      <c r="K950">
        <v>156</v>
      </c>
      <c r="L950">
        <v>2</v>
      </c>
      <c r="M950">
        <v>2020</v>
      </c>
      <c r="N950">
        <v>8</v>
      </c>
      <c r="O950">
        <v>2</v>
      </c>
      <c r="P950">
        <v>3</v>
      </c>
      <c r="Q950" s="2" t="s">
        <v>17</v>
      </c>
    </row>
    <row r="951" spans="1:17" x14ac:dyDescent="0.3">
      <c r="A951" s="1">
        <v>44063</v>
      </c>
      <c r="B951" s="3">
        <v>184</v>
      </c>
      <c r="C951" s="3">
        <v>184</v>
      </c>
      <c r="D951" s="3">
        <v>181</v>
      </c>
      <c r="E951" s="3">
        <v>181</v>
      </c>
      <c r="F951" s="4">
        <v>16692200</v>
      </c>
      <c r="G951" s="3">
        <v>184</v>
      </c>
      <c r="H951">
        <v>1</v>
      </c>
      <c r="I951">
        <v>185</v>
      </c>
      <c r="J951">
        <v>175</v>
      </c>
      <c r="K951">
        <v>156</v>
      </c>
      <c r="L951">
        <v>2</v>
      </c>
      <c r="M951">
        <v>2020</v>
      </c>
      <c r="N951">
        <v>8</v>
      </c>
      <c r="O951">
        <v>3</v>
      </c>
      <c r="P951">
        <v>3</v>
      </c>
      <c r="Q951" s="2" t="s">
        <v>17</v>
      </c>
    </row>
    <row r="952" spans="1:17" x14ac:dyDescent="0.3">
      <c r="A952" s="1">
        <v>44064</v>
      </c>
      <c r="B952" s="3">
        <v>182</v>
      </c>
      <c r="C952" s="3">
        <v>183</v>
      </c>
      <c r="D952" s="3">
        <v>180</v>
      </c>
      <c r="E952" s="3">
        <v>182</v>
      </c>
      <c r="F952" s="4">
        <v>12713700</v>
      </c>
      <c r="G952" s="3">
        <v>182</v>
      </c>
      <c r="H952">
        <v>-1</v>
      </c>
      <c r="I952">
        <v>185</v>
      </c>
      <c r="J952">
        <v>175</v>
      </c>
      <c r="K952">
        <v>156</v>
      </c>
      <c r="L952">
        <v>2</v>
      </c>
      <c r="M952">
        <v>2020</v>
      </c>
      <c r="N952">
        <v>8</v>
      </c>
      <c r="O952">
        <v>4</v>
      </c>
      <c r="P952">
        <v>3</v>
      </c>
      <c r="Q952" s="2" t="s">
        <v>17</v>
      </c>
    </row>
    <row r="953" spans="1:17" x14ac:dyDescent="0.3">
      <c r="A953" s="1">
        <v>44067</v>
      </c>
      <c r="B953" s="3">
        <v>181</v>
      </c>
      <c r="C953" s="3">
        <v>183</v>
      </c>
      <c r="D953" s="3">
        <v>181</v>
      </c>
      <c r="E953" s="3">
        <v>183</v>
      </c>
      <c r="F953" s="4">
        <v>11605800</v>
      </c>
      <c r="G953" s="3">
        <v>181</v>
      </c>
      <c r="H953">
        <v>-1</v>
      </c>
      <c r="I953">
        <v>185</v>
      </c>
      <c r="J953">
        <v>175</v>
      </c>
      <c r="K953">
        <v>157</v>
      </c>
      <c r="L953">
        <v>2</v>
      </c>
      <c r="M953">
        <v>2020</v>
      </c>
      <c r="N953">
        <v>8</v>
      </c>
      <c r="O953">
        <v>0</v>
      </c>
      <c r="P953">
        <v>3</v>
      </c>
      <c r="Q953" s="2" t="s">
        <v>17</v>
      </c>
    </row>
    <row r="954" spans="1:17" x14ac:dyDescent="0.3">
      <c r="A954" s="1">
        <v>44068</v>
      </c>
      <c r="B954" s="3">
        <v>181</v>
      </c>
      <c r="C954" s="3">
        <v>181</v>
      </c>
      <c r="D954" s="3">
        <v>180</v>
      </c>
      <c r="E954" s="3">
        <v>181</v>
      </c>
      <c r="F954" s="4">
        <v>10056100</v>
      </c>
      <c r="G954" s="3">
        <v>181</v>
      </c>
      <c r="H954">
        <v>0</v>
      </c>
      <c r="I954">
        <v>185</v>
      </c>
      <c r="J954">
        <v>176</v>
      </c>
      <c r="K954">
        <v>157</v>
      </c>
      <c r="L954">
        <v>2</v>
      </c>
      <c r="M954">
        <v>2020</v>
      </c>
      <c r="N954">
        <v>8</v>
      </c>
      <c r="O954">
        <v>1</v>
      </c>
      <c r="P954">
        <v>3</v>
      </c>
      <c r="Q954" s="2" t="s">
        <v>17</v>
      </c>
    </row>
    <row r="955" spans="1:17" x14ac:dyDescent="0.3">
      <c r="A955" s="1">
        <v>44069</v>
      </c>
      <c r="B955" s="3">
        <v>183</v>
      </c>
      <c r="C955" s="3">
        <v>184</v>
      </c>
      <c r="D955" s="3">
        <v>180</v>
      </c>
      <c r="E955" s="3">
        <v>180</v>
      </c>
      <c r="F955" s="4">
        <v>12715800</v>
      </c>
      <c r="G955" s="3">
        <v>183</v>
      </c>
      <c r="H955">
        <v>1</v>
      </c>
      <c r="I955">
        <v>185</v>
      </c>
      <c r="J955">
        <v>176</v>
      </c>
      <c r="K955">
        <v>157</v>
      </c>
      <c r="L955">
        <v>2</v>
      </c>
      <c r="M955">
        <v>2020</v>
      </c>
      <c r="N955">
        <v>8</v>
      </c>
      <c r="O955">
        <v>2</v>
      </c>
      <c r="P955">
        <v>3</v>
      </c>
      <c r="Q955" s="2" t="s">
        <v>17</v>
      </c>
    </row>
    <row r="956" spans="1:17" x14ac:dyDescent="0.3">
      <c r="A956" s="1">
        <v>44070</v>
      </c>
      <c r="B956" s="3">
        <v>181</v>
      </c>
      <c r="C956" s="3">
        <v>185</v>
      </c>
      <c r="D956" s="3">
        <v>179</v>
      </c>
      <c r="E956" s="3">
        <v>185</v>
      </c>
      <c r="F956" s="4">
        <v>16299200</v>
      </c>
      <c r="G956" s="3">
        <v>181</v>
      </c>
      <c r="H956">
        <v>-1</v>
      </c>
      <c r="I956">
        <v>185</v>
      </c>
      <c r="J956">
        <v>177</v>
      </c>
      <c r="K956">
        <v>157</v>
      </c>
      <c r="L956">
        <v>2</v>
      </c>
      <c r="M956">
        <v>2020</v>
      </c>
      <c r="N956">
        <v>8</v>
      </c>
      <c r="O956">
        <v>3</v>
      </c>
      <c r="P956">
        <v>3</v>
      </c>
      <c r="Q956" s="2" t="s">
        <v>17</v>
      </c>
    </row>
    <row r="957" spans="1:17" x14ac:dyDescent="0.3">
      <c r="A957" s="1">
        <v>44071</v>
      </c>
      <c r="B957" s="3">
        <v>184</v>
      </c>
      <c r="C957" s="3">
        <v>185</v>
      </c>
      <c r="D957" s="3">
        <v>183</v>
      </c>
      <c r="E957" s="3">
        <v>184</v>
      </c>
      <c r="F957" s="4">
        <v>13200800</v>
      </c>
      <c r="G957" s="3">
        <v>184</v>
      </c>
      <c r="H957">
        <v>2</v>
      </c>
      <c r="I957">
        <v>185</v>
      </c>
      <c r="J957">
        <v>177</v>
      </c>
      <c r="K957">
        <v>158</v>
      </c>
      <c r="L957">
        <v>2</v>
      </c>
      <c r="M957">
        <v>2020</v>
      </c>
      <c r="N957">
        <v>8</v>
      </c>
      <c r="O957">
        <v>4</v>
      </c>
      <c r="P957">
        <v>3</v>
      </c>
      <c r="Q957" s="2" t="s">
        <v>17</v>
      </c>
    </row>
    <row r="958" spans="1:17" x14ac:dyDescent="0.3">
      <c r="A958" s="1">
        <v>44074</v>
      </c>
      <c r="B958" s="3">
        <v>185</v>
      </c>
      <c r="C958" s="3">
        <v>186</v>
      </c>
      <c r="D958" s="3">
        <v>184</v>
      </c>
      <c r="E958" s="3">
        <v>185</v>
      </c>
      <c r="F958" s="4">
        <v>10251200</v>
      </c>
      <c r="G958" s="3">
        <v>185</v>
      </c>
      <c r="H958">
        <v>0</v>
      </c>
      <c r="I958">
        <v>185</v>
      </c>
      <c r="J958">
        <v>177</v>
      </c>
      <c r="K958">
        <v>158</v>
      </c>
      <c r="L958">
        <v>2</v>
      </c>
      <c r="M958">
        <v>2020</v>
      </c>
      <c r="N958">
        <v>8</v>
      </c>
      <c r="O958">
        <v>0</v>
      </c>
      <c r="P958">
        <v>3</v>
      </c>
      <c r="Q958" s="2" t="s">
        <v>17</v>
      </c>
    </row>
    <row r="959" spans="1:17" x14ac:dyDescent="0.3">
      <c r="A959" s="1">
        <v>44075</v>
      </c>
      <c r="B959" s="3">
        <v>185</v>
      </c>
      <c r="C959" s="3">
        <v>187</v>
      </c>
      <c r="D959" s="3">
        <v>184</v>
      </c>
      <c r="E959" s="3">
        <v>187</v>
      </c>
      <c r="F959" s="4">
        <v>10662100</v>
      </c>
      <c r="G959" s="3">
        <v>185</v>
      </c>
      <c r="H959">
        <v>0</v>
      </c>
      <c r="I959">
        <v>185</v>
      </c>
      <c r="J959">
        <v>178</v>
      </c>
      <c r="K959">
        <v>158</v>
      </c>
      <c r="L959">
        <v>2</v>
      </c>
      <c r="M959">
        <v>2020</v>
      </c>
      <c r="N959">
        <v>9</v>
      </c>
      <c r="O959">
        <v>1</v>
      </c>
      <c r="P959">
        <v>3</v>
      </c>
      <c r="Q959" s="2" t="s">
        <v>17</v>
      </c>
    </row>
    <row r="960" spans="1:17" x14ac:dyDescent="0.3">
      <c r="A960" s="1">
        <v>44076</v>
      </c>
      <c r="B960" s="3">
        <v>183</v>
      </c>
      <c r="C960" s="3">
        <v>184</v>
      </c>
      <c r="D960" s="3">
        <v>182</v>
      </c>
      <c r="E960" s="3">
        <v>184</v>
      </c>
      <c r="F960" s="4">
        <v>11536900</v>
      </c>
      <c r="G960" s="3">
        <v>183</v>
      </c>
      <c r="H960">
        <v>-1</v>
      </c>
      <c r="I960">
        <v>184</v>
      </c>
      <c r="J960">
        <v>178</v>
      </c>
      <c r="K960">
        <v>158</v>
      </c>
      <c r="L960">
        <v>2</v>
      </c>
      <c r="M960">
        <v>2020</v>
      </c>
      <c r="N960">
        <v>9</v>
      </c>
      <c r="O960">
        <v>2</v>
      </c>
      <c r="P960">
        <v>3</v>
      </c>
      <c r="Q960" s="2" t="s">
        <v>17</v>
      </c>
    </row>
    <row r="961" spans="1:17" x14ac:dyDescent="0.3">
      <c r="A961" s="1">
        <v>44077</v>
      </c>
      <c r="B961" s="3">
        <v>181</v>
      </c>
      <c r="C961" s="3">
        <v>183</v>
      </c>
      <c r="D961" s="3">
        <v>180</v>
      </c>
      <c r="E961" s="3">
        <v>182</v>
      </c>
      <c r="F961" s="4">
        <v>12148100</v>
      </c>
      <c r="G961" s="3">
        <v>181</v>
      </c>
      <c r="H961">
        <v>-1</v>
      </c>
      <c r="I961">
        <v>184</v>
      </c>
      <c r="J961">
        <v>178</v>
      </c>
      <c r="K961">
        <v>158</v>
      </c>
      <c r="L961">
        <v>2</v>
      </c>
      <c r="M961">
        <v>2020</v>
      </c>
      <c r="N961">
        <v>9</v>
      </c>
      <c r="O961">
        <v>3</v>
      </c>
      <c r="P961">
        <v>3</v>
      </c>
      <c r="Q961" s="2" t="s">
        <v>17</v>
      </c>
    </row>
    <row r="962" spans="1:17" x14ac:dyDescent="0.3">
      <c r="A962" s="1">
        <v>44078</v>
      </c>
      <c r="B962" s="3">
        <v>182</v>
      </c>
      <c r="C962" s="3">
        <v>182</v>
      </c>
      <c r="D962" s="3">
        <v>180</v>
      </c>
      <c r="E962" s="3">
        <v>181</v>
      </c>
      <c r="F962" s="4">
        <v>11567900</v>
      </c>
      <c r="G962" s="3">
        <v>182</v>
      </c>
      <c r="H962">
        <v>0</v>
      </c>
      <c r="I962">
        <v>183</v>
      </c>
      <c r="J962">
        <v>179</v>
      </c>
      <c r="K962">
        <v>159</v>
      </c>
      <c r="L962">
        <v>2</v>
      </c>
      <c r="M962">
        <v>2020</v>
      </c>
      <c r="N962">
        <v>9</v>
      </c>
      <c r="O962">
        <v>4</v>
      </c>
      <c r="P962">
        <v>3</v>
      </c>
      <c r="Q962" s="2" t="s">
        <v>17</v>
      </c>
    </row>
    <row r="963" spans="1:17" x14ac:dyDescent="0.3">
      <c r="A963" s="1">
        <v>44082</v>
      </c>
      <c r="B963" s="3">
        <v>181</v>
      </c>
      <c r="C963" s="3">
        <v>182</v>
      </c>
      <c r="D963" s="3">
        <v>179</v>
      </c>
      <c r="E963" s="3">
        <v>180</v>
      </c>
      <c r="F963" s="4">
        <v>13229200</v>
      </c>
      <c r="G963" s="3">
        <v>181</v>
      </c>
      <c r="H963">
        <v>0</v>
      </c>
      <c r="I963">
        <v>183</v>
      </c>
      <c r="J963">
        <v>179</v>
      </c>
      <c r="K963">
        <v>159</v>
      </c>
      <c r="L963">
        <v>2</v>
      </c>
      <c r="M963">
        <v>2020</v>
      </c>
      <c r="N963">
        <v>9</v>
      </c>
      <c r="O963">
        <v>1</v>
      </c>
      <c r="P963">
        <v>3</v>
      </c>
      <c r="Q963" s="2" t="s">
        <v>17</v>
      </c>
    </row>
    <row r="964" spans="1:17" x14ac:dyDescent="0.3">
      <c r="A964" s="1">
        <v>44083</v>
      </c>
      <c r="B964" s="3">
        <v>183</v>
      </c>
      <c r="C964" s="3">
        <v>183</v>
      </c>
      <c r="D964" s="3">
        <v>182</v>
      </c>
      <c r="E964" s="3">
        <v>183</v>
      </c>
      <c r="F964" s="4">
        <v>8424100</v>
      </c>
      <c r="G964" s="3">
        <v>183</v>
      </c>
      <c r="H964">
        <v>1</v>
      </c>
      <c r="I964">
        <v>183</v>
      </c>
      <c r="J964">
        <v>179</v>
      </c>
      <c r="K964">
        <v>159</v>
      </c>
      <c r="L964">
        <v>1</v>
      </c>
      <c r="M964">
        <v>2020</v>
      </c>
      <c r="N964">
        <v>9</v>
      </c>
      <c r="O964">
        <v>2</v>
      </c>
      <c r="P964">
        <v>3</v>
      </c>
      <c r="Q964" s="2" t="s">
        <v>17</v>
      </c>
    </row>
    <row r="965" spans="1:17" x14ac:dyDescent="0.3">
      <c r="A965" s="1">
        <v>44084</v>
      </c>
      <c r="B965" s="3">
        <v>182</v>
      </c>
      <c r="C965" s="3">
        <v>185</v>
      </c>
      <c r="D965" s="3">
        <v>182</v>
      </c>
      <c r="E965" s="3">
        <v>184</v>
      </c>
      <c r="F965" s="4">
        <v>9143600</v>
      </c>
      <c r="G965" s="3">
        <v>182</v>
      </c>
      <c r="H965">
        <v>0</v>
      </c>
      <c r="I965">
        <v>183</v>
      </c>
      <c r="J965">
        <v>180</v>
      </c>
      <c r="K965">
        <v>159</v>
      </c>
      <c r="L965">
        <v>1</v>
      </c>
      <c r="M965">
        <v>2020</v>
      </c>
      <c r="N965">
        <v>9</v>
      </c>
      <c r="O965">
        <v>3</v>
      </c>
      <c r="P965">
        <v>3</v>
      </c>
      <c r="Q965" s="2" t="s">
        <v>17</v>
      </c>
    </row>
    <row r="966" spans="1:17" x14ac:dyDescent="0.3">
      <c r="A966" s="1">
        <v>44085</v>
      </c>
      <c r="B966" s="3">
        <v>182</v>
      </c>
      <c r="C966" s="3">
        <v>184</v>
      </c>
      <c r="D966" s="3">
        <v>182</v>
      </c>
      <c r="E966" s="3">
        <v>183</v>
      </c>
      <c r="F966" s="4">
        <v>7662300</v>
      </c>
      <c r="G966" s="3">
        <v>182</v>
      </c>
      <c r="H966">
        <v>0</v>
      </c>
      <c r="I966">
        <v>183</v>
      </c>
      <c r="J966">
        <v>180</v>
      </c>
      <c r="K966">
        <v>160</v>
      </c>
      <c r="L966">
        <v>1</v>
      </c>
      <c r="M966">
        <v>2020</v>
      </c>
      <c r="N966">
        <v>9</v>
      </c>
      <c r="O966">
        <v>4</v>
      </c>
      <c r="P966">
        <v>3</v>
      </c>
      <c r="Q966" s="2" t="s">
        <v>17</v>
      </c>
    </row>
    <row r="967" spans="1:17" x14ac:dyDescent="0.3">
      <c r="A967" s="1">
        <v>44088</v>
      </c>
      <c r="B967" s="3">
        <v>184</v>
      </c>
      <c r="C967" s="3">
        <v>184</v>
      </c>
      <c r="D967" s="3">
        <v>183</v>
      </c>
      <c r="E967" s="3">
        <v>184</v>
      </c>
      <c r="F967" s="4">
        <v>9709500</v>
      </c>
      <c r="G967" s="3">
        <v>184</v>
      </c>
      <c r="H967">
        <v>1</v>
      </c>
      <c r="I967">
        <v>183</v>
      </c>
      <c r="J967">
        <v>180</v>
      </c>
      <c r="K967">
        <v>160</v>
      </c>
      <c r="L967">
        <v>1</v>
      </c>
      <c r="M967">
        <v>2020</v>
      </c>
      <c r="N967">
        <v>9</v>
      </c>
      <c r="O967">
        <v>0</v>
      </c>
      <c r="P967">
        <v>3</v>
      </c>
      <c r="Q967" s="2" t="s">
        <v>17</v>
      </c>
    </row>
    <row r="968" spans="1:17" x14ac:dyDescent="0.3">
      <c r="A968" s="1">
        <v>44089</v>
      </c>
      <c r="B968" s="3">
        <v>183</v>
      </c>
      <c r="C968" s="3">
        <v>185</v>
      </c>
      <c r="D968" s="3">
        <v>183</v>
      </c>
      <c r="E968" s="3">
        <v>184</v>
      </c>
      <c r="F968" s="4">
        <v>7993700</v>
      </c>
      <c r="G968" s="3">
        <v>183</v>
      </c>
      <c r="H968">
        <v>0</v>
      </c>
      <c r="I968">
        <v>183</v>
      </c>
      <c r="J968">
        <v>181</v>
      </c>
      <c r="K968">
        <v>160</v>
      </c>
      <c r="L968">
        <v>1</v>
      </c>
      <c r="M968">
        <v>2020</v>
      </c>
      <c r="N968">
        <v>9</v>
      </c>
      <c r="O968">
        <v>1</v>
      </c>
      <c r="P968">
        <v>3</v>
      </c>
      <c r="Q968" s="2" t="s">
        <v>17</v>
      </c>
    </row>
    <row r="969" spans="1:17" x14ac:dyDescent="0.3">
      <c r="A969" s="1">
        <v>44090</v>
      </c>
      <c r="B969" s="3">
        <v>184</v>
      </c>
      <c r="C969" s="3">
        <v>185</v>
      </c>
      <c r="D969" s="3">
        <v>183</v>
      </c>
      <c r="E969" s="3">
        <v>185</v>
      </c>
      <c r="F969" s="4">
        <v>12702400</v>
      </c>
      <c r="G969" s="3">
        <v>184</v>
      </c>
      <c r="H969">
        <v>0</v>
      </c>
      <c r="I969">
        <v>183</v>
      </c>
      <c r="J969">
        <v>181</v>
      </c>
      <c r="K969">
        <v>160</v>
      </c>
      <c r="L969">
        <v>1</v>
      </c>
      <c r="M969">
        <v>2020</v>
      </c>
      <c r="N969">
        <v>9</v>
      </c>
      <c r="O969">
        <v>2</v>
      </c>
      <c r="P969">
        <v>3</v>
      </c>
      <c r="Q969" s="2" t="s">
        <v>17</v>
      </c>
    </row>
    <row r="970" spans="1:17" x14ac:dyDescent="0.3">
      <c r="A970" s="1">
        <v>44091</v>
      </c>
      <c r="B970" s="3">
        <v>183</v>
      </c>
      <c r="C970" s="3">
        <v>183</v>
      </c>
      <c r="D970" s="3">
        <v>181</v>
      </c>
      <c r="E970" s="3">
        <v>182</v>
      </c>
      <c r="F970" s="4">
        <v>8836200</v>
      </c>
      <c r="G970" s="3">
        <v>183</v>
      </c>
      <c r="H970">
        <v>-1</v>
      </c>
      <c r="I970">
        <v>183</v>
      </c>
      <c r="J970">
        <v>181</v>
      </c>
      <c r="K970">
        <v>160</v>
      </c>
      <c r="L970">
        <v>1</v>
      </c>
      <c r="M970">
        <v>2020</v>
      </c>
      <c r="N970">
        <v>9</v>
      </c>
      <c r="O970">
        <v>3</v>
      </c>
      <c r="P970">
        <v>3</v>
      </c>
      <c r="Q970" s="2" t="s">
        <v>17</v>
      </c>
    </row>
    <row r="971" spans="1:17" x14ac:dyDescent="0.3">
      <c r="A971" s="1">
        <v>44092</v>
      </c>
      <c r="B971" s="3">
        <v>183</v>
      </c>
      <c r="C971" s="3">
        <v>184</v>
      </c>
      <c r="D971" s="3">
        <v>183</v>
      </c>
      <c r="E971" s="3">
        <v>183</v>
      </c>
      <c r="F971" s="4">
        <v>9959700</v>
      </c>
      <c r="G971" s="3">
        <v>183</v>
      </c>
      <c r="H971">
        <v>0</v>
      </c>
      <c r="I971">
        <v>183</v>
      </c>
      <c r="J971">
        <v>182</v>
      </c>
      <c r="K971">
        <v>161</v>
      </c>
      <c r="L971">
        <v>1</v>
      </c>
      <c r="M971">
        <v>2020</v>
      </c>
      <c r="N971">
        <v>9</v>
      </c>
      <c r="O971">
        <v>4</v>
      </c>
      <c r="P971">
        <v>3</v>
      </c>
      <c r="Q971" s="2" t="s">
        <v>17</v>
      </c>
    </row>
    <row r="972" spans="1:17" x14ac:dyDescent="0.3">
      <c r="A972" s="1">
        <v>44095</v>
      </c>
      <c r="B972" s="3">
        <v>180</v>
      </c>
      <c r="C972" s="3">
        <v>180</v>
      </c>
      <c r="D972" s="3">
        <v>177</v>
      </c>
      <c r="E972" s="3">
        <v>180</v>
      </c>
      <c r="F972" s="4">
        <v>17436100</v>
      </c>
      <c r="G972" s="3">
        <v>180</v>
      </c>
      <c r="H972">
        <v>-2</v>
      </c>
      <c r="I972">
        <v>183</v>
      </c>
      <c r="J972">
        <v>182</v>
      </c>
      <c r="K972">
        <v>161</v>
      </c>
      <c r="L972">
        <v>1</v>
      </c>
      <c r="M972">
        <v>2020</v>
      </c>
      <c r="N972">
        <v>9</v>
      </c>
      <c r="O972">
        <v>0</v>
      </c>
      <c r="P972">
        <v>3</v>
      </c>
      <c r="Q972" s="2" t="s">
        <v>17</v>
      </c>
    </row>
    <row r="973" spans="1:17" x14ac:dyDescent="0.3">
      <c r="A973" s="1">
        <v>44096</v>
      </c>
      <c r="B973" s="3">
        <v>179</v>
      </c>
      <c r="C973" s="3">
        <v>180</v>
      </c>
      <c r="D973" s="3">
        <v>178</v>
      </c>
      <c r="E973" s="3">
        <v>180</v>
      </c>
      <c r="F973" s="4">
        <v>7977900</v>
      </c>
      <c r="G973" s="3">
        <v>179</v>
      </c>
      <c r="H973">
        <v>0</v>
      </c>
      <c r="I973">
        <v>183</v>
      </c>
      <c r="J973">
        <v>182</v>
      </c>
      <c r="K973">
        <v>161</v>
      </c>
      <c r="L973">
        <v>1</v>
      </c>
      <c r="M973">
        <v>2020</v>
      </c>
      <c r="N973">
        <v>9</v>
      </c>
      <c r="O973">
        <v>1</v>
      </c>
      <c r="P973">
        <v>3</v>
      </c>
      <c r="Q973" s="2" t="s">
        <v>17</v>
      </c>
    </row>
    <row r="974" spans="1:17" x14ac:dyDescent="0.3">
      <c r="A974" s="1">
        <v>44097</v>
      </c>
      <c r="B974" s="3">
        <v>175</v>
      </c>
      <c r="C974" s="3">
        <v>177</v>
      </c>
      <c r="D974" s="3">
        <v>174</v>
      </c>
      <c r="E974" s="3">
        <v>177</v>
      </c>
      <c r="F974" s="4">
        <v>18134000</v>
      </c>
      <c r="G974" s="3">
        <v>175</v>
      </c>
      <c r="H974">
        <v>-2</v>
      </c>
      <c r="I974">
        <v>182</v>
      </c>
      <c r="J974">
        <v>182</v>
      </c>
      <c r="K974">
        <v>161</v>
      </c>
      <c r="L974">
        <v>1</v>
      </c>
      <c r="M974">
        <v>2020</v>
      </c>
      <c r="N974">
        <v>9</v>
      </c>
      <c r="O974">
        <v>2</v>
      </c>
      <c r="P974">
        <v>3</v>
      </c>
      <c r="Q974" s="2" t="s">
        <v>17</v>
      </c>
    </row>
    <row r="975" spans="1:17" x14ac:dyDescent="0.3">
      <c r="A975" s="1">
        <v>44098</v>
      </c>
      <c r="B975" s="3">
        <v>175</v>
      </c>
      <c r="C975" s="3">
        <v>176</v>
      </c>
      <c r="D975" s="3">
        <v>174</v>
      </c>
      <c r="E975" s="3">
        <v>174</v>
      </c>
      <c r="F975" s="4">
        <v>11759200</v>
      </c>
      <c r="G975" s="3">
        <v>175</v>
      </c>
      <c r="H975">
        <v>0</v>
      </c>
      <c r="I975">
        <v>182</v>
      </c>
      <c r="J975">
        <v>182</v>
      </c>
      <c r="K975">
        <v>161</v>
      </c>
      <c r="L975">
        <v>1</v>
      </c>
      <c r="M975">
        <v>2020</v>
      </c>
      <c r="N975">
        <v>9</v>
      </c>
      <c r="O975">
        <v>3</v>
      </c>
      <c r="P975">
        <v>3</v>
      </c>
      <c r="Q975" s="2" t="s">
        <v>17</v>
      </c>
    </row>
    <row r="976" spans="1:17" x14ac:dyDescent="0.3">
      <c r="A976" s="1">
        <v>44099</v>
      </c>
      <c r="B976" s="3">
        <v>175</v>
      </c>
      <c r="C976" s="3">
        <v>175</v>
      </c>
      <c r="D976" s="3">
        <v>174</v>
      </c>
      <c r="E976" s="3">
        <v>174</v>
      </c>
      <c r="F976" s="4">
        <v>6779200</v>
      </c>
      <c r="G976" s="3">
        <v>175</v>
      </c>
      <c r="H976">
        <v>0</v>
      </c>
      <c r="I976">
        <v>181</v>
      </c>
      <c r="J976">
        <v>182</v>
      </c>
      <c r="K976">
        <v>162</v>
      </c>
      <c r="L976">
        <v>1</v>
      </c>
      <c r="M976">
        <v>2020</v>
      </c>
      <c r="N976">
        <v>9</v>
      </c>
      <c r="O976">
        <v>4</v>
      </c>
      <c r="P976">
        <v>3</v>
      </c>
      <c r="Q976" s="2" t="s">
        <v>17</v>
      </c>
    </row>
    <row r="977" spans="1:17" x14ac:dyDescent="0.3">
      <c r="A977" s="1">
        <v>44102</v>
      </c>
      <c r="B977" s="3">
        <v>177</v>
      </c>
      <c r="C977" s="3">
        <v>177</v>
      </c>
      <c r="D977" s="3">
        <v>175</v>
      </c>
      <c r="E977" s="3">
        <v>176</v>
      </c>
      <c r="F977" s="4">
        <v>7109700</v>
      </c>
      <c r="G977" s="3">
        <v>177</v>
      </c>
      <c r="H977">
        <v>1</v>
      </c>
      <c r="I977">
        <v>181</v>
      </c>
      <c r="J977">
        <v>182</v>
      </c>
      <c r="K977">
        <v>162</v>
      </c>
      <c r="L977">
        <v>1</v>
      </c>
      <c r="M977">
        <v>2020</v>
      </c>
      <c r="N977">
        <v>9</v>
      </c>
      <c r="O977">
        <v>0</v>
      </c>
      <c r="P977">
        <v>3</v>
      </c>
      <c r="Q977" s="2" t="s">
        <v>17</v>
      </c>
    </row>
    <row r="978" spans="1:17" x14ac:dyDescent="0.3">
      <c r="A978" s="1">
        <v>44103</v>
      </c>
      <c r="B978" s="3">
        <v>178</v>
      </c>
      <c r="C978" s="3">
        <v>178</v>
      </c>
      <c r="D978" s="3">
        <v>177</v>
      </c>
      <c r="E978" s="3">
        <v>177</v>
      </c>
      <c r="F978" s="4">
        <v>8718500</v>
      </c>
      <c r="G978" s="3">
        <v>178</v>
      </c>
      <c r="H978">
        <v>1</v>
      </c>
      <c r="I978">
        <v>181</v>
      </c>
      <c r="J978">
        <v>183</v>
      </c>
      <c r="K978">
        <v>162</v>
      </c>
      <c r="L978">
        <v>1</v>
      </c>
      <c r="M978">
        <v>2020</v>
      </c>
      <c r="N978">
        <v>9</v>
      </c>
      <c r="O978">
        <v>1</v>
      </c>
      <c r="P978">
        <v>3</v>
      </c>
      <c r="Q978" s="2" t="s">
        <v>17</v>
      </c>
    </row>
    <row r="979" spans="1:17" x14ac:dyDescent="0.3">
      <c r="A979" s="1">
        <v>44104</v>
      </c>
      <c r="B979" s="3">
        <v>177</v>
      </c>
      <c r="C979" s="3">
        <v>179</v>
      </c>
      <c r="D979" s="3">
        <v>177</v>
      </c>
      <c r="E979" s="3">
        <v>178</v>
      </c>
      <c r="F979" s="4">
        <v>8371800</v>
      </c>
      <c r="G979" s="3">
        <v>177</v>
      </c>
      <c r="H979">
        <v>-1</v>
      </c>
      <c r="I979">
        <v>180</v>
      </c>
      <c r="J979">
        <v>183</v>
      </c>
      <c r="K979">
        <v>162</v>
      </c>
      <c r="L979">
        <v>1</v>
      </c>
      <c r="M979">
        <v>2020</v>
      </c>
      <c r="N979">
        <v>9</v>
      </c>
      <c r="O979">
        <v>2</v>
      </c>
      <c r="P979">
        <v>3</v>
      </c>
      <c r="Q979" s="2" t="s">
        <v>17</v>
      </c>
    </row>
    <row r="980" spans="1:17" x14ac:dyDescent="0.3">
      <c r="A980" s="1">
        <v>44105</v>
      </c>
      <c r="B980" s="3">
        <v>179</v>
      </c>
      <c r="C980" s="3">
        <v>180</v>
      </c>
      <c r="D980" s="3">
        <v>178</v>
      </c>
      <c r="E980" s="3">
        <v>179</v>
      </c>
      <c r="F980" s="4">
        <v>10402800</v>
      </c>
      <c r="G980" s="3">
        <v>179</v>
      </c>
      <c r="H980">
        <v>1</v>
      </c>
      <c r="I980">
        <v>180</v>
      </c>
      <c r="J980">
        <v>183</v>
      </c>
      <c r="K980">
        <v>162</v>
      </c>
      <c r="L980">
        <v>1</v>
      </c>
      <c r="M980">
        <v>2020</v>
      </c>
      <c r="N980">
        <v>10</v>
      </c>
      <c r="O980">
        <v>3</v>
      </c>
      <c r="P980">
        <v>4</v>
      </c>
      <c r="Q980" s="2" t="s">
        <v>17</v>
      </c>
    </row>
    <row r="981" spans="1:17" x14ac:dyDescent="0.3">
      <c r="A981" s="1">
        <v>44106</v>
      </c>
      <c r="B981" s="3">
        <v>179</v>
      </c>
      <c r="C981" s="3">
        <v>179</v>
      </c>
      <c r="D981" s="3">
        <v>178</v>
      </c>
      <c r="E981" s="3">
        <v>179</v>
      </c>
      <c r="F981" s="4">
        <v>7488500</v>
      </c>
      <c r="G981" s="3">
        <v>179</v>
      </c>
      <c r="H981">
        <v>0</v>
      </c>
      <c r="I981">
        <v>180</v>
      </c>
      <c r="J981">
        <v>183</v>
      </c>
      <c r="K981">
        <v>163</v>
      </c>
      <c r="L981">
        <v>1</v>
      </c>
      <c r="M981">
        <v>2020</v>
      </c>
      <c r="N981">
        <v>10</v>
      </c>
      <c r="O981">
        <v>4</v>
      </c>
      <c r="P981">
        <v>4</v>
      </c>
      <c r="Q981" s="2" t="s">
        <v>17</v>
      </c>
    </row>
    <row r="982" spans="1:17" x14ac:dyDescent="0.3">
      <c r="A982" s="1">
        <v>44109</v>
      </c>
      <c r="B982" s="3">
        <v>179</v>
      </c>
      <c r="C982" s="3">
        <v>180</v>
      </c>
      <c r="D982" s="3">
        <v>179</v>
      </c>
      <c r="E982" s="3">
        <v>179</v>
      </c>
      <c r="F982" s="4">
        <v>6969600</v>
      </c>
      <c r="G982" s="3">
        <v>179</v>
      </c>
      <c r="H982">
        <v>0</v>
      </c>
      <c r="I982">
        <v>180</v>
      </c>
      <c r="J982">
        <v>183</v>
      </c>
      <c r="K982">
        <v>163</v>
      </c>
      <c r="L982">
        <v>1</v>
      </c>
      <c r="M982">
        <v>2020</v>
      </c>
      <c r="N982">
        <v>10</v>
      </c>
      <c r="O982">
        <v>0</v>
      </c>
      <c r="P982">
        <v>4</v>
      </c>
      <c r="Q982" s="2" t="s">
        <v>17</v>
      </c>
    </row>
    <row r="983" spans="1:17" x14ac:dyDescent="0.3">
      <c r="A983" s="1">
        <v>44110</v>
      </c>
      <c r="B983" s="3">
        <v>177</v>
      </c>
      <c r="C983" s="3">
        <v>180</v>
      </c>
      <c r="D983" s="3">
        <v>177</v>
      </c>
      <c r="E983" s="3">
        <v>180</v>
      </c>
      <c r="F983" s="4">
        <v>8632800</v>
      </c>
      <c r="G983" s="3">
        <v>177</v>
      </c>
      <c r="H983">
        <v>-1</v>
      </c>
      <c r="I983">
        <v>180</v>
      </c>
      <c r="J983">
        <v>183</v>
      </c>
      <c r="K983">
        <v>163</v>
      </c>
      <c r="L983">
        <v>1</v>
      </c>
      <c r="M983">
        <v>2020</v>
      </c>
      <c r="N983">
        <v>10</v>
      </c>
      <c r="O983">
        <v>1</v>
      </c>
      <c r="P983">
        <v>4</v>
      </c>
      <c r="Q983" s="2" t="s">
        <v>17</v>
      </c>
    </row>
    <row r="984" spans="1:17" x14ac:dyDescent="0.3">
      <c r="A984" s="1">
        <v>44111</v>
      </c>
      <c r="B984" s="3">
        <v>177</v>
      </c>
      <c r="C984" s="3">
        <v>177</v>
      </c>
      <c r="D984" s="3">
        <v>176</v>
      </c>
      <c r="E984" s="3">
        <v>177</v>
      </c>
      <c r="F984" s="4">
        <v>6410900</v>
      </c>
      <c r="G984" s="3">
        <v>177</v>
      </c>
      <c r="H984">
        <v>0</v>
      </c>
      <c r="I984">
        <v>179</v>
      </c>
      <c r="J984">
        <v>182</v>
      </c>
      <c r="K984">
        <v>163</v>
      </c>
      <c r="L984">
        <v>1</v>
      </c>
      <c r="M984">
        <v>2020</v>
      </c>
      <c r="N984">
        <v>10</v>
      </c>
      <c r="O984">
        <v>2</v>
      </c>
      <c r="P984">
        <v>4</v>
      </c>
      <c r="Q984" s="2" t="s">
        <v>17</v>
      </c>
    </row>
    <row r="985" spans="1:17" x14ac:dyDescent="0.3">
      <c r="A985" s="1">
        <v>44112</v>
      </c>
      <c r="B985" s="3">
        <v>178</v>
      </c>
      <c r="C985" s="3">
        <v>178</v>
      </c>
      <c r="D985" s="3">
        <v>177</v>
      </c>
      <c r="E985" s="3">
        <v>178</v>
      </c>
      <c r="F985" s="4">
        <v>6530800</v>
      </c>
      <c r="G985" s="3">
        <v>178</v>
      </c>
      <c r="H985">
        <v>0</v>
      </c>
      <c r="I985">
        <v>179</v>
      </c>
      <c r="J985">
        <v>182</v>
      </c>
      <c r="K985">
        <v>163</v>
      </c>
      <c r="L985">
        <v>1</v>
      </c>
      <c r="M985">
        <v>2020</v>
      </c>
      <c r="N985">
        <v>10</v>
      </c>
      <c r="O985">
        <v>3</v>
      </c>
      <c r="P985">
        <v>4</v>
      </c>
      <c r="Q985" s="2" t="s">
        <v>17</v>
      </c>
    </row>
    <row r="986" spans="1:17" x14ac:dyDescent="0.3">
      <c r="A986" s="1">
        <v>44113</v>
      </c>
      <c r="B986" s="3">
        <v>181</v>
      </c>
      <c r="C986" s="3">
        <v>181</v>
      </c>
      <c r="D986" s="3">
        <v>180</v>
      </c>
      <c r="E986" s="3">
        <v>180</v>
      </c>
      <c r="F986" s="4">
        <v>15979800</v>
      </c>
      <c r="G986" s="3">
        <v>181</v>
      </c>
      <c r="H986">
        <v>2</v>
      </c>
      <c r="I986">
        <v>179</v>
      </c>
      <c r="J986">
        <v>182</v>
      </c>
      <c r="K986">
        <v>164</v>
      </c>
      <c r="L986">
        <v>1</v>
      </c>
      <c r="M986">
        <v>2020</v>
      </c>
      <c r="N986">
        <v>10</v>
      </c>
      <c r="O986">
        <v>4</v>
      </c>
      <c r="P986">
        <v>4</v>
      </c>
      <c r="Q986" s="2" t="s">
        <v>17</v>
      </c>
    </row>
    <row r="987" spans="1:17" x14ac:dyDescent="0.3">
      <c r="A987" s="1">
        <v>44116</v>
      </c>
      <c r="B987" s="3">
        <v>181</v>
      </c>
      <c r="C987" s="3">
        <v>181</v>
      </c>
      <c r="D987" s="3">
        <v>180</v>
      </c>
      <c r="E987" s="3">
        <v>181</v>
      </c>
      <c r="F987" s="4">
        <v>4843000</v>
      </c>
      <c r="G987" s="3">
        <v>181</v>
      </c>
      <c r="H987">
        <v>0</v>
      </c>
      <c r="I987">
        <v>179</v>
      </c>
      <c r="J987">
        <v>182</v>
      </c>
      <c r="K987">
        <v>164</v>
      </c>
      <c r="L987">
        <v>1</v>
      </c>
      <c r="M987">
        <v>2020</v>
      </c>
      <c r="N987">
        <v>10</v>
      </c>
      <c r="O987">
        <v>0</v>
      </c>
      <c r="P987">
        <v>4</v>
      </c>
      <c r="Q987" s="2" t="s">
        <v>17</v>
      </c>
    </row>
    <row r="988" spans="1:17" x14ac:dyDescent="0.3">
      <c r="A988" s="1">
        <v>44117</v>
      </c>
      <c r="B988" s="3">
        <v>178</v>
      </c>
      <c r="C988" s="3">
        <v>179</v>
      </c>
      <c r="D988" s="3">
        <v>177</v>
      </c>
      <c r="E988" s="3">
        <v>179</v>
      </c>
      <c r="F988" s="4">
        <v>8384300</v>
      </c>
      <c r="G988" s="3">
        <v>178</v>
      </c>
      <c r="H988">
        <v>-2</v>
      </c>
      <c r="I988">
        <v>179</v>
      </c>
      <c r="J988">
        <v>182</v>
      </c>
      <c r="K988">
        <v>164</v>
      </c>
      <c r="L988">
        <v>1</v>
      </c>
      <c r="M988">
        <v>2020</v>
      </c>
      <c r="N988">
        <v>10</v>
      </c>
      <c r="O988">
        <v>1</v>
      </c>
      <c r="P988">
        <v>4</v>
      </c>
      <c r="Q988" s="2" t="s">
        <v>17</v>
      </c>
    </row>
    <row r="989" spans="1:17" x14ac:dyDescent="0.3">
      <c r="A989" s="1">
        <v>44118</v>
      </c>
      <c r="B989" s="3">
        <v>178</v>
      </c>
      <c r="C989" s="3">
        <v>180</v>
      </c>
      <c r="D989" s="3">
        <v>178</v>
      </c>
      <c r="E989" s="3">
        <v>179</v>
      </c>
      <c r="F989" s="4">
        <v>9076600</v>
      </c>
      <c r="G989" s="3">
        <v>178</v>
      </c>
      <c r="H989">
        <v>0</v>
      </c>
      <c r="I989">
        <v>178</v>
      </c>
      <c r="J989">
        <v>182</v>
      </c>
      <c r="K989">
        <v>164</v>
      </c>
      <c r="L989">
        <v>1</v>
      </c>
      <c r="M989">
        <v>2020</v>
      </c>
      <c r="N989">
        <v>10</v>
      </c>
      <c r="O989">
        <v>2</v>
      </c>
      <c r="P989">
        <v>4</v>
      </c>
      <c r="Q989" s="2" t="s">
        <v>17</v>
      </c>
    </row>
    <row r="990" spans="1:17" x14ac:dyDescent="0.3">
      <c r="A990" s="1">
        <v>44119</v>
      </c>
      <c r="B990" s="3">
        <v>179</v>
      </c>
      <c r="C990" s="3">
        <v>179</v>
      </c>
      <c r="D990" s="3">
        <v>178</v>
      </c>
      <c r="E990" s="3">
        <v>178</v>
      </c>
      <c r="F990" s="4">
        <v>6815400</v>
      </c>
      <c r="G990" s="3">
        <v>179</v>
      </c>
      <c r="H990">
        <v>0</v>
      </c>
      <c r="I990">
        <v>178</v>
      </c>
      <c r="J990">
        <v>182</v>
      </c>
      <c r="K990">
        <v>164</v>
      </c>
      <c r="L990">
        <v>1</v>
      </c>
      <c r="M990">
        <v>2020</v>
      </c>
      <c r="N990">
        <v>10</v>
      </c>
      <c r="O990">
        <v>3</v>
      </c>
      <c r="P990">
        <v>4</v>
      </c>
      <c r="Q990" s="2" t="s">
        <v>17</v>
      </c>
    </row>
    <row r="991" spans="1:17" x14ac:dyDescent="0.3">
      <c r="A991" s="1">
        <v>44120</v>
      </c>
      <c r="B991" s="3">
        <v>178</v>
      </c>
      <c r="C991" s="3">
        <v>179</v>
      </c>
      <c r="D991" s="3">
        <v>178</v>
      </c>
      <c r="E991" s="3">
        <v>179</v>
      </c>
      <c r="F991" s="4">
        <v>7260700</v>
      </c>
      <c r="G991" s="3">
        <v>178</v>
      </c>
      <c r="H991">
        <v>0</v>
      </c>
      <c r="I991">
        <v>178</v>
      </c>
      <c r="J991">
        <v>181</v>
      </c>
      <c r="K991">
        <v>164</v>
      </c>
      <c r="L991">
        <v>1</v>
      </c>
      <c r="M991">
        <v>2020</v>
      </c>
      <c r="N991">
        <v>10</v>
      </c>
      <c r="O991">
        <v>4</v>
      </c>
      <c r="P991">
        <v>4</v>
      </c>
      <c r="Q991" s="2" t="s">
        <v>17</v>
      </c>
    </row>
    <row r="992" spans="1:17" x14ac:dyDescent="0.3">
      <c r="A992" s="1">
        <v>44123</v>
      </c>
      <c r="B992" s="3">
        <v>178</v>
      </c>
      <c r="C992" s="3">
        <v>179</v>
      </c>
      <c r="D992" s="3">
        <v>178</v>
      </c>
      <c r="E992" s="3">
        <v>179</v>
      </c>
      <c r="F992" s="4">
        <v>6084400</v>
      </c>
      <c r="G992" s="3">
        <v>178</v>
      </c>
      <c r="H992">
        <v>0</v>
      </c>
      <c r="I992">
        <v>178</v>
      </c>
      <c r="J992">
        <v>181</v>
      </c>
      <c r="K992">
        <v>165</v>
      </c>
      <c r="L992">
        <v>1</v>
      </c>
      <c r="M992">
        <v>2020</v>
      </c>
      <c r="N992">
        <v>10</v>
      </c>
      <c r="O992">
        <v>0</v>
      </c>
      <c r="P992">
        <v>4</v>
      </c>
      <c r="Q992" s="2" t="s">
        <v>17</v>
      </c>
    </row>
    <row r="993" spans="1:17" x14ac:dyDescent="0.3">
      <c r="A993" s="1">
        <v>44124</v>
      </c>
      <c r="B993" s="3">
        <v>179</v>
      </c>
      <c r="C993" s="3">
        <v>180</v>
      </c>
      <c r="D993" s="3">
        <v>178</v>
      </c>
      <c r="E993" s="3">
        <v>179</v>
      </c>
      <c r="F993" s="4">
        <v>7121400</v>
      </c>
      <c r="G993" s="3">
        <v>179</v>
      </c>
      <c r="H993">
        <v>0</v>
      </c>
      <c r="I993">
        <v>178</v>
      </c>
      <c r="J993">
        <v>181</v>
      </c>
      <c r="K993">
        <v>165</v>
      </c>
      <c r="L993">
        <v>1</v>
      </c>
      <c r="M993">
        <v>2020</v>
      </c>
      <c r="N993">
        <v>10</v>
      </c>
      <c r="O993">
        <v>1</v>
      </c>
      <c r="P993">
        <v>4</v>
      </c>
      <c r="Q993" s="2" t="s">
        <v>17</v>
      </c>
    </row>
    <row r="994" spans="1:17" x14ac:dyDescent="0.3">
      <c r="A994" s="1">
        <v>44125</v>
      </c>
      <c r="B994" s="3">
        <v>181</v>
      </c>
      <c r="C994" s="3">
        <v>181</v>
      </c>
      <c r="D994" s="3">
        <v>180</v>
      </c>
      <c r="E994" s="3">
        <v>180</v>
      </c>
      <c r="F994" s="4">
        <v>7548100</v>
      </c>
      <c r="G994" s="3">
        <v>181</v>
      </c>
      <c r="H994">
        <v>1</v>
      </c>
      <c r="I994">
        <v>178</v>
      </c>
      <c r="J994">
        <v>181</v>
      </c>
      <c r="K994">
        <v>165</v>
      </c>
      <c r="L994">
        <v>1</v>
      </c>
      <c r="M994">
        <v>2020</v>
      </c>
      <c r="N994">
        <v>10</v>
      </c>
      <c r="O994">
        <v>2</v>
      </c>
      <c r="P994">
        <v>4</v>
      </c>
      <c r="Q994" s="2" t="s">
        <v>17</v>
      </c>
    </row>
    <row r="995" spans="1:17" x14ac:dyDescent="0.3">
      <c r="A995" s="1">
        <v>44126</v>
      </c>
      <c r="B995" s="3">
        <v>179</v>
      </c>
      <c r="C995" s="3">
        <v>179</v>
      </c>
      <c r="D995" s="3">
        <v>178</v>
      </c>
      <c r="E995" s="3">
        <v>179</v>
      </c>
      <c r="F995" s="4">
        <v>8377000</v>
      </c>
      <c r="G995" s="3">
        <v>179</v>
      </c>
      <c r="H995">
        <v>-1</v>
      </c>
      <c r="I995">
        <v>178</v>
      </c>
      <c r="J995">
        <v>181</v>
      </c>
      <c r="K995">
        <v>165</v>
      </c>
      <c r="L995">
        <v>1</v>
      </c>
      <c r="M995">
        <v>2020</v>
      </c>
      <c r="N995">
        <v>10</v>
      </c>
      <c r="O995">
        <v>3</v>
      </c>
      <c r="P995">
        <v>4</v>
      </c>
      <c r="Q995" s="2" t="s">
        <v>17</v>
      </c>
    </row>
    <row r="996" spans="1:17" x14ac:dyDescent="0.3">
      <c r="A996" s="1">
        <v>44127</v>
      </c>
      <c r="B996" s="3">
        <v>179</v>
      </c>
      <c r="C996" s="3">
        <v>179</v>
      </c>
      <c r="D996" s="3">
        <v>178</v>
      </c>
      <c r="E996" s="3">
        <v>179</v>
      </c>
      <c r="F996" s="4">
        <v>5919300</v>
      </c>
      <c r="G996" s="3">
        <v>179</v>
      </c>
      <c r="H996">
        <v>0</v>
      </c>
      <c r="I996">
        <v>179</v>
      </c>
      <c r="J996">
        <v>181</v>
      </c>
      <c r="K996">
        <v>165</v>
      </c>
      <c r="L996">
        <v>1</v>
      </c>
      <c r="M996">
        <v>2020</v>
      </c>
      <c r="N996">
        <v>10</v>
      </c>
      <c r="O996">
        <v>4</v>
      </c>
      <c r="P996">
        <v>4</v>
      </c>
      <c r="Q996" s="2" t="s">
        <v>17</v>
      </c>
    </row>
    <row r="997" spans="1:17" x14ac:dyDescent="0.3">
      <c r="A997" s="1">
        <v>44130</v>
      </c>
      <c r="B997" s="3">
        <v>179</v>
      </c>
      <c r="C997" s="3">
        <v>179</v>
      </c>
      <c r="D997" s="3">
        <v>178</v>
      </c>
      <c r="E997" s="3">
        <v>179</v>
      </c>
      <c r="F997" s="4">
        <v>5105100</v>
      </c>
      <c r="G997" s="3">
        <v>179</v>
      </c>
      <c r="H997">
        <v>0</v>
      </c>
      <c r="I997">
        <v>179</v>
      </c>
      <c r="J997">
        <v>181</v>
      </c>
      <c r="K997">
        <v>165</v>
      </c>
      <c r="L997">
        <v>1</v>
      </c>
      <c r="M997">
        <v>2020</v>
      </c>
      <c r="N997">
        <v>10</v>
      </c>
      <c r="O997">
        <v>0</v>
      </c>
      <c r="P997">
        <v>4</v>
      </c>
      <c r="Q997" s="2" t="s">
        <v>17</v>
      </c>
    </row>
    <row r="998" spans="1:17" x14ac:dyDescent="0.3">
      <c r="A998" s="1">
        <v>44131</v>
      </c>
      <c r="B998" s="3">
        <v>179</v>
      </c>
      <c r="C998" s="3">
        <v>179</v>
      </c>
      <c r="D998" s="3">
        <v>179</v>
      </c>
      <c r="E998" s="3">
        <v>179</v>
      </c>
      <c r="F998" s="4">
        <v>5826900</v>
      </c>
      <c r="G998" s="3">
        <v>179</v>
      </c>
      <c r="H998">
        <v>0</v>
      </c>
      <c r="I998">
        <v>179</v>
      </c>
      <c r="J998">
        <v>180</v>
      </c>
      <c r="K998">
        <v>166</v>
      </c>
      <c r="L998">
        <v>1</v>
      </c>
      <c r="M998">
        <v>2020</v>
      </c>
      <c r="N998">
        <v>10</v>
      </c>
      <c r="O998">
        <v>1</v>
      </c>
      <c r="P998">
        <v>4</v>
      </c>
      <c r="Q998" s="2" t="s">
        <v>17</v>
      </c>
    </row>
    <row r="999" spans="1:17" x14ac:dyDescent="0.3">
      <c r="A999" s="1">
        <v>44132</v>
      </c>
      <c r="B999" s="3">
        <v>176</v>
      </c>
      <c r="C999" s="3">
        <v>177</v>
      </c>
      <c r="D999" s="3">
        <v>175</v>
      </c>
      <c r="E999" s="3">
        <v>176</v>
      </c>
      <c r="F999" s="4">
        <v>11734100</v>
      </c>
      <c r="G999" s="3">
        <v>176</v>
      </c>
      <c r="H999">
        <v>-2</v>
      </c>
      <c r="I999">
        <v>179</v>
      </c>
      <c r="J999">
        <v>180</v>
      </c>
      <c r="K999">
        <v>166</v>
      </c>
      <c r="L999">
        <v>1</v>
      </c>
      <c r="M999">
        <v>2020</v>
      </c>
      <c r="N999">
        <v>10</v>
      </c>
      <c r="O999">
        <v>2</v>
      </c>
      <c r="P999">
        <v>4</v>
      </c>
      <c r="Q999" s="2" t="s">
        <v>17</v>
      </c>
    </row>
    <row r="1000" spans="1:17" x14ac:dyDescent="0.3">
      <c r="A1000" s="1">
        <v>44133</v>
      </c>
      <c r="B1000" s="3">
        <v>175</v>
      </c>
      <c r="C1000" s="3">
        <v>176</v>
      </c>
      <c r="D1000" s="3">
        <v>175</v>
      </c>
      <c r="E1000" s="3">
        <v>175</v>
      </c>
      <c r="F1000" s="4">
        <v>8474500</v>
      </c>
      <c r="G1000" s="3">
        <v>175</v>
      </c>
      <c r="H1000">
        <v>0</v>
      </c>
      <c r="I1000">
        <v>178</v>
      </c>
      <c r="J1000">
        <v>180</v>
      </c>
      <c r="K1000">
        <v>166</v>
      </c>
      <c r="L1000">
        <v>1</v>
      </c>
      <c r="M1000">
        <v>2020</v>
      </c>
      <c r="N1000">
        <v>10</v>
      </c>
      <c r="O1000">
        <v>3</v>
      </c>
      <c r="P1000">
        <v>4</v>
      </c>
      <c r="Q1000" s="2" t="s">
        <v>17</v>
      </c>
    </row>
    <row r="1001" spans="1:17" x14ac:dyDescent="0.3">
      <c r="A1001" s="1">
        <v>44134</v>
      </c>
      <c r="B1001" s="3">
        <v>176</v>
      </c>
      <c r="C1001" s="3">
        <v>177</v>
      </c>
      <c r="D1001" s="3">
        <v>176</v>
      </c>
      <c r="E1001" s="3">
        <v>177</v>
      </c>
      <c r="F1001" s="4">
        <v>7303000</v>
      </c>
      <c r="G1001" s="3">
        <v>176</v>
      </c>
      <c r="H1001">
        <v>0</v>
      </c>
      <c r="I1001">
        <v>178</v>
      </c>
      <c r="J1001">
        <v>180</v>
      </c>
      <c r="K1001">
        <v>166</v>
      </c>
      <c r="L1001">
        <v>1</v>
      </c>
      <c r="M1001">
        <v>2020</v>
      </c>
      <c r="N1001">
        <v>10</v>
      </c>
      <c r="O1001">
        <v>4</v>
      </c>
      <c r="P1001">
        <v>4</v>
      </c>
      <c r="Q1001" s="2" t="s">
        <v>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666E05-66D7-44AB-B980-FD999D0AC1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Gold_prices_master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24016837</dc:creator>
  <cp:lastModifiedBy>Mkhulu Mokutu</cp:lastModifiedBy>
  <dcterms:created xsi:type="dcterms:W3CDTF">2015-06-05T18:17:20Z</dcterms:created>
  <dcterms:modified xsi:type="dcterms:W3CDTF">2026-04-24T11:04:03Z</dcterms:modified>
</cp:coreProperties>
</file>